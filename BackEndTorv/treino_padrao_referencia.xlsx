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adsul\Downloads\"/>
    </mc:Choice>
  </mc:AlternateContent>
  <xr:revisionPtr revIDLastSave="0" documentId="13_ncr:1_{09E6EE0A-5C69-47A5-B7BD-2D838352B04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eiaMe" sheetId="1" r:id="rId1"/>
    <sheet name="Gerador" sheetId="2" r:id="rId2"/>
    <sheet name="Algoritmo" sheetId="3" r:id="rId3"/>
    <sheet name="Niveis" sheetId="4" r:id="rId4"/>
    <sheet name="Objetivos" sheetId="5" r:id="rId5"/>
    <sheet name="Sessoes" sheetId="6" r:id="rId6"/>
    <sheet name="Exercicios" sheetId="7" r:id="rId7"/>
  </sheets>
  <definedNames>
    <definedName name="_xlnm._FilterDatabase" localSheetId="6" hidden="1">Exercicios!$A$4:$I$75</definedName>
    <definedName name="_xlnm._FilterDatabase" localSheetId="5" hidden="1">Sessoes!$A$4:$O$105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6" i="7" l="1"/>
  <c r="L15" i="7"/>
  <c r="L14" i="7"/>
  <c r="L13" i="7"/>
  <c r="L12" i="7"/>
  <c r="L11" i="7"/>
  <c r="L10" i="7"/>
  <c r="L9" i="7"/>
  <c r="L8" i="7"/>
  <c r="L7" i="7"/>
  <c r="L6" i="7"/>
  <c r="L5" i="7"/>
  <c r="B21" i="2"/>
  <c r="N16" i="2"/>
  <c r="M16" i="2"/>
  <c r="N15" i="2"/>
  <c r="M15" i="2"/>
  <c r="D14" i="2"/>
  <c r="C14" i="2"/>
  <c r="A14" i="2"/>
  <c r="D13" i="2"/>
  <c r="C13" i="2"/>
  <c r="A13" i="2"/>
  <c r="D12" i="2"/>
  <c r="C12" i="2"/>
  <c r="A12" i="2"/>
  <c r="D11" i="2"/>
  <c r="C11" i="2"/>
  <c r="A11" i="2"/>
  <c r="D10" i="2"/>
  <c r="C10" i="2"/>
  <c r="A10" i="2"/>
  <c r="D9" i="2"/>
  <c r="C9" i="2"/>
  <c r="B17" i="2" s="1"/>
  <c r="B18" i="2" s="1"/>
  <c r="A9" i="2"/>
  <c r="B29" i="2" l="1"/>
  <c r="B28" i="2"/>
  <c r="B25" i="2"/>
  <c r="B24" i="2"/>
  <c r="B23" i="2"/>
  <c r="B19" i="2"/>
  <c r="L17" i="7"/>
  <c r="H75" i="7" l="1"/>
  <c r="H69" i="7"/>
  <c r="H63" i="7"/>
  <c r="H57" i="7"/>
  <c r="H51" i="7"/>
  <c r="H45" i="7"/>
  <c r="H39" i="7"/>
  <c r="H33" i="7"/>
  <c r="H27" i="7"/>
  <c r="H21" i="7"/>
  <c r="H74" i="7"/>
  <c r="H68" i="7"/>
  <c r="H62" i="7"/>
  <c r="H56" i="7"/>
  <c r="H50" i="7"/>
  <c r="H44" i="7"/>
  <c r="H38" i="7"/>
  <c r="H32" i="7"/>
  <c r="H26" i="7"/>
  <c r="H20" i="7"/>
  <c r="H16" i="7"/>
  <c r="H13" i="7"/>
  <c r="H10" i="7"/>
  <c r="H7" i="7"/>
  <c r="H73" i="7"/>
  <c r="H72" i="7"/>
  <c r="H66" i="7"/>
  <c r="H60" i="7"/>
  <c r="H54" i="7"/>
  <c r="H48" i="7"/>
  <c r="H42" i="7"/>
  <c r="H36" i="7"/>
  <c r="H30" i="7"/>
  <c r="H24" i="7"/>
  <c r="H18" i="7"/>
  <c r="I18" i="7" s="1"/>
  <c r="H15" i="7"/>
  <c r="H12" i="7"/>
  <c r="H9" i="7"/>
  <c r="H6" i="7"/>
  <c r="H71" i="7"/>
  <c r="H70" i="7"/>
  <c r="H64" i="7"/>
  <c r="H58" i="7"/>
  <c r="I58" i="7" s="1"/>
  <c r="H52" i="7"/>
  <c r="I52" i="7" s="1"/>
  <c r="H46" i="7"/>
  <c r="H40" i="7"/>
  <c r="H34" i="7"/>
  <c r="H28" i="7"/>
  <c r="H22" i="7"/>
  <c r="H17" i="7"/>
  <c r="H14" i="7"/>
  <c r="H11" i="7"/>
  <c r="H8" i="7"/>
  <c r="H5" i="7"/>
  <c r="H67" i="7"/>
  <c r="I67" i="7" s="1"/>
  <c r="H49" i="7"/>
  <c r="H31" i="7"/>
  <c r="H61" i="7"/>
  <c r="H43" i="7"/>
  <c r="I43" i="7" s="1"/>
  <c r="H25" i="7"/>
  <c r="H53" i="7"/>
  <c r="H35" i="7"/>
  <c r="H65" i="7"/>
  <c r="M6" i="2"/>
  <c r="M13" i="2"/>
  <c r="H23" i="7"/>
  <c r="M12" i="2"/>
  <c r="H19" i="7"/>
  <c r="H59" i="7"/>
  <c r="B27" i="2"/>
  <c r="M10" i="2"/>
  <c r="M8" i="2"/>
  <c r="M5" i="2"/>
  <c r="H55" i="7"/>
  <c r="B26" i="2"/>
  <c r="H47" i="7"/>
  <c r="H41" i="7"/>
  <c r="B22" i="2"/>
  <c r="M11" i="2"/>
  <c r="H37" i="7"/>
  <c r="M7" i="2"/>
  <c r="H29" i="7"/>
  <c r="I29" i="7" s="1"/>
  <c r="B20" i="2"/>
  <c r="M9" i="2"/>
  <c r="M14" i="2"/>
  <c r="I19" i="7" l="1"/>
  <c r="I20" i="7"/>
  <c r="I26" i="7"/>
  <c r="I22" i="7"/>
  <c r="I73" i="7"/>
  <c r="I75" i="7"/>
  <c r="I25" i="7"/>
  <c r="I28" i="7"/>
  <c r="I68" i="7"/>
  <c r="I49" i="7"/>
  <c r="I48" i="7"/>
  <c r="I12" i="7"/>
  <c r="J9" i="6"/>
  <c r="J11" i="6"/>
  <c r="J66" i="6"/>
  <c r="J36" i="6"/>
  <c r="J93" i="6"/>
  <c r="J51" i="6"/>
  <c r="I15" i="7"/>
  <c r="M6" i="7"/>
  <c r="J7" i="6"/>
  <c r="J71" i="6"/>
  <c r="J17" i="6"/>
  <c r="J70" i="6"/>
  <c r="J46" i="6"/>
  <c r="J34" i="6"/>
  <c r="J37" i="6"/>
  <c r="J72" i="6"/>
  <c r="J18" i="6"/>
  <c r="J88" i="6"/>
  <c r="I7" i="7"/>
  <c r="I53" i="7"/>
  <c r="H104" i="6"/>
  <c r="H101" i="6"/>
  <c r="H98" i="6"/>
  <c r="H95" i="6"/>
  <c r="H92" i="6"/>
  <c r="H89" i="6"/>
  <c r="H86" i="6"/>
  <c r="H83" i="6"/>
  <c r="H105" i="6"/>
  <c r="H102" i="6"/>
  <c r="H99" i="6"/>
  <c r="H96" i="6"/>
  <c r="H93" i="6"/>
  <c r="H90" i="6"/>
  <c r="H87" i="6"/>
  <c r="H84" i="6"/>
  <c r="H81" i="6"/>
  <c r="H78" i="6"/>
  <c r="H75" i="6"/>
  <c r="H72" i="6"/>
  <c r="H69" i="6"/>
  <c r="H66" i="6"/>
  <c r="H63" i="6"/>
  <c r="H60" i="6"/>
  <c r="H57" i="6"/>
  <c r="H54" i="6"/>
  <c r="H51" i="6"/>
  <c r="H48" i="6"/>
  <c r="H45" i="6"/>
  <c r="H42" i="6"/>
  <c r="H39" i="6"/>
  <c r="H36" i="6"/>
  <c r="H33" i="6"/>
  <c r="H30" i="6"/>
  <c r="H27" i="6"/>
  <c r="H24" i="6"/>
  <c r="H21" i="6"/>
  <c r="H18" i="6"/>
  <c r="H15" i="6"/>
  <c r="H12" i="6"/>
  <c r="H9" i="6"/>
  <c r="H6" i="6"/>
  <c r="H103" i="6"/>
  <c r="H100" i="6"/>
  <c r="H97" i="6"/>
  <c r="H94" i="6"/>
  <c r="H91" i="6"/>
  <c r="H88" i="6"/>
  <c r="H85" i="6"/>
  <c r="H82" i="6"/>
  <c r="H79" i="6"/>
  <c r="H76" i="6"/>
  <c r="H73" i="6"/>
  <c r="H70" i="6"/>
  <c r="H67" i="6"/>
  <c r="H64" i="6"/>
  <c r="H61" i="6"/>
  <c r="H58" i="6"/>
  <c r="H55" i="6"/>
  <c r="H52" i="6"/>
  <c r="H49" i="6"/>
  <c r="H46" i="6"/>
  <c r="H43" i="6"/>
  <c r="H40" i="6"/>
  <c r="H37" i="6"/>
  <c r="H34" i="6"/>
  <c r="H31" i="6"/>
  <c r="H28" i="6"/>
  <c r="H25" i="6"/>
  <c r="H22" i="6"/>
  <c r="H19" i="6"/>
  <c r="H17" i="6"/>
  <c r="H8" i="6"/>
  <c r="H74" i="6"/>
  <c r="H68" i="6"/>
  <c r="H62" i="6"/>
  <c r="H56" i="6"/>
  <c r="H50" i="6"/>
  <c r="H44" i="6"/>
  <c r="H38" i="6"/>
  <c r="H32" i="6"/>
  <c r="H26" i="6"/>
  <c r="H20" i="6"/>
  <c r="H5" i="6"/>
  <c r="H71" i="6"/>
  <c r="H65" i="6"/>
  <c r="H59" i="6"/>
  <c r="H53" i="6"/>
  <c r="H47" i="6"/>
  <c r="H41" i="6"/>
  <c r="H35" i="6"/>
  <c r="H29" i="6"/>
  <c r="H23" i="6"/>
  <c r="H7" i="6"/>
  <c r="H80" i="6"/>
  <c r="H77" i="6"/>
  <c r="H14" i="6"/>
  <c r="H11" i="6"/>
  <c r="H16" i="6"/>
  <c r="H13" i="6"/>
  <c r="H10" i="6"/>
  <c r="I34" i="7"/>
  <c r="I10" i="7"/>
  <c r="M16" i="7"/>
  <c r="I74" i="7"/>
  <c r="J77" i="6"/>
  <c r="J95" i="6"/>
  <c r="I64" i="7"/>
  <c r="I62" i="7"/>
  <c r="I40" i="7"/>
  <c r="I13" i="7"/>
  <c r="I21" i="7"/>
  <c r="I37" i="7"/>
  <c r="M9" i="7"/>
  <c r="J68" i="6"/>
  <c r="I36" i="7"/>
  <c r="M10" i="7"/>
  <c r="J96" i="6"/>
  <c r="J78" i="6"/>
  <c r="J5" i="6"/>
  <c r="J23" i="6"/>
  <c r="J40" i="6"/>
  <c r="I42" i="7"/>
  <c r="J79" i="6"/>
  <c r="J54" i="6"/>
  <c r="I23" i="7"/>
  <c r="J73" i="6"/>
  <c r="I5" i="7"/>
  <c r="M5" i="7"/>
  <c r="J6" i="6"/>
  <c r="J87" i="6"/>
  <c r="J47" i="6"/>
  <c r="J64" i="6"/>
  <c r="J19" i="6"/>
  <c r="J63" i="6"/>
  <c r="J33" i="6"/>
  <c r="I61" i="7"/>
  <c r="J65" i="6"/>
  <c r="J35" i="6"/>
  <c r="M7" i="7"/>
  <c r="J89" i="6"/>
  <c r="J24" i="6"/>
  <c r="J8" i="6"/>
  <c r="I24" i="7"/>
  <c r="I59" i="7"/>
  <c r="I31" i="7"/>
  <c r="I46" i="7"/>
  <c r="I30" i="7"/>
  <c r="I16" i="7"/>
  <c r="I27" i="7"/>
  <c r="J94" i="6"/>
  <c r="J74" i="6"/>
  <c r="J10" i="6"/>
  <c r="J12" i="6"/>
  <c r="J52" i="6"/>
  <c r="J67" i="6"/>
  <c r="J49" i="6"/>
  <c r="J48" i="6"/>
  <c r="I33" i="7"/>
  <c r="I39" i="7"/>
  <c r="J91" i="6"/>
  <c r="J53" i="6"/>
  <c r="J69" i="6"/>
  <c r="J39" i="6"/>
  <c r="J21" i="6"/>
  <c r="I32" i="7"/>
  <c r="J13" i="6"/>
  <c r="J76" i="6"/>
  <c r="J90" i="6"/>
  <c r="J50" i="6"/>
  <c r="J38" i="6"/>
  <c r="J32" i="6"/>
  <c r="M8" i="7"/>
  <c r="J75" i="6"/>
  <c r="I45" i="7"/>
  <c r="I41" i="7"/>
  <c r="I8" i="7"/>
  <c r="I70" i="7"/>
  <c r="I54" i="7"/>
  <c r="I38" i="7"/>
  <c r="I51" i="7"/>
  <c r="J15" i="6"/>
  <c r="M11" i="7"/>
  <c r="J81" i="6"/>
  <c r="J41" i="6"/>
  <c r="J97" i="6"/>
  <c r="J55" i="6"/>
  <c r="J27" i="6"/>
  <c r="J104" i="6"/>
  <c r="I60" i="7"/>
  <c r="J58" i="6"/>
  <c r="J28" i="6"/>
  <c r="J84" i="6"/>
  <c r="J61" i="6"/>
  <c r="J100" i="6"/>
  <c r="J30" i="6"/>
  <c r="I44" i="7"/>
  <c r="I57" i="7"/>
  <c r="J83" i="6"/>
  <c r="J56" i="6"/>
  <c r="J26" i="6"/>
  <c r="J16" i="6"/>
  <c r="M12" i="7"/>
  <c r="J42" i="6"/>
  <c r="J98" i="6"/>
  <c r="I63" i="7"/>
  <c r="J85" i="6"/>
  <c r="J103" i="6"/>
  <c r="J44" i="6"/>
  <c r="J59" i="6"/>
  <c r="J29" i="6"/>
  <c r="J86" i="6"/>
  <c r="J22" i="6"/>
  <c r="M13" i="7"/>
  <c r="J60" i="6"/>
  <c r="I47" i="7"/>
  <c r="I11" i="7"/>
  <c r="I71" i="7"/>
  <c r="I65" i="7"/>
  <c r="I14" i="7"/>
  <c r="I6" i="7"/>
  <c r="J101" i="6"/>
  <c r="I66" i="7"/>
  <c r="J92" i="6"/>
  <c r="J62" i="6"/>
  <c r="J14" i="6"/>
  <c r="M14" i="7"/>
  <c r="J31" i="6"/>
  <c r="J105" i="6"/>
  <c r="J45" i="6"/>
  <c r="I50" i="7"/>
  <c r="J80" i="6"/>
  <c r="J20" i="6"/>
  <c r="J43" i="6"/>
  <c r="I55" i="7"/>
  <c r="J82" i="6"/>
  <c r="J99" i="6"/>
  <c r="J25" i="6"/>
  <c r="J57" i="6"/>
  <c r="I35" i="7"/>
  <c r="I17" i="7"/>
  <c r="I9" i="7"/>
  <c r="M15" i="7"/>
  <c r="I72" i="7"/>
  <c r="J102" i="6"/>
  <c r="I56" i="7"/>
  <c r="I69" i="7"/>
  <c r="I52" i="6" l="1"/>
  <c r="K52" i="6" s="1"/>
  <c r="I65" i="6"/>
  <c r="K65" i="6" s="1"/>
  <c r="I43" i="6"/>
  <c r="K43" i="6" s="1"/>
  <c r="I79" i="6"/>
  <c r="K79" i="6" s="1"/>
  <c r="I15" i="6"/>
  <c r="K15" i="6" s="1"/>
  <c r="K87" i="6"/>
  <c r="I87" i="6"/>
  <c r="I98" i="6"/>
  <c r="K98" i="6" s="1"/>
  <c r="I71" i="6"/>
  <c r="K71" i="6"/>
  <c r="I44" i="6"/>
  <c r="K44" i="6"/>
  <c r="I46" i="6"/>
  <c r="K46" i="6" s="1"/>
  <c r="I82" i="6"/>
  <c r="K82" i="6" s="1"/>
  <c r="I18" i="6"/>
  <c r="K18" i="6" s="1"/>
  <c r="I54" i="6"/>
  <c r="K54" i="6" s="1"/>
  <c r="I90" i="6"/>
  <c r="K90" i="6" s="1"/>
  <c r="I101" i="6"/>
  <c r="K101" i="6" s="1"/>
  <c r="I88" i="6"/>
  <c r="K88" i="6"/>
  <c r="I38" i="6"/>
  <c r="K38" i="6" s="1"/>
  <c r="I51" i="6"/>
  <c r="K51" i="6" s="1"/>
  <c r="I50" i="6"/>
  <c r="K50" i="6"/>
  <c r="I8" i="6"/>
  <c r="K8" i="6"/>
  <c r="I49" i="6"/>
  <c r="K49" i="6" s="1"/>
  <c r="I85" i="6"/>
  <c r="K85" i="6"/>
  <c r="I21" i="6"/>
  <c r="K21" i="6" s="1"/>
  <c r="I57" i="6"/>
  <c r="K57" i="6" s="1"/>
  <c r="I93" i="6"/>
  <c r="K93" i="6" s="1"/>
  <c r="I104" i="6"/>
  <c r="K104" i="6"/>
  <c r="I17" i="6"/>
  <c r="K17" i="6"/>
  <c r="I60" i="6"/>
  <c r="K60" i="6" s="1"/>
  <c r="I91" i="6"/>
  <c r="K91" i="6" s="1"/>
  <c r="I22" i="6"/>
  <c r="K22" i="6" s="1"/>
  <c r="I66" i="6"/>
  <c r="K66" i="6" s="1"/>
  <c r="I10" i="6"/>
  <c r="K10" i="6" s="1"/>
  <c r="I105" i="6"/>
  <c r="K105" i="6" s="1"/>
  <c r="I35" i="6"/>
  <c r="K35" i="6" s="1"/>
  <c r="I28" i="6"/>
  <c r="K28" i="6" s="1"/>
  <c r="I64" i="6"/>
  <c r="K64" i="6" s="1"/>
  <c r="I100" i="6"/>
  <c r="K100" i="6" s="1"/>
  <c r="I36" i="6"/>
  <c r="K36" i="6" s="1"/>
  <c r="I72" i="6"/>
  <c r="K72" i="6" s="1"/>
  <c r="I83" i="6"/>
  <c r="K83" i="6"/>
  <c r="I96" i="6"/>
  <c r="K96" i="6" s="1"/>
  <c r="I14" i="6"/>
  <c r="K14" i="6" s="1"/>
  <c r="I62" i="6"/>
  <c r="K62" i="6" s="1"/>
  <c r="I27" i="6"/>
  <c r="K27" i="6" s="1"/>
  <c r="I77" i="6"/>
  <c r="K77" i="6" s="1"/>
  <c r="I68" i="6"/>
  <c r="K68" i="6"/>
  <c r="I94" i="6"/>
  <c r="K94" i="6" s="1"/>
  <c r="I80" i="6"/>
  <c r="K80" i="6" s="1"/>
  <c r="I61" i="6"/>
  <c r="K61" i="6" s="1"/>
  <c r="I69" i="6"/>
  <c r="K69" i="6" s="1"/>
  <c r="M17" i="7"/>
  <c r="I31" i="6"/>
  <c r="K31" i="6" s="1"/>
  <c r="I103" i="6"/>
  <c r="K103" i="6"/>
  <c r="I75" i="6"/>
  <c r="K75" i="6" s="1"/>
  <c r="I13" i="6"/>
  <c r="K13" i="6" s="1"/>
  <c r="I47" i="6"/>
  <c r="K47" i="6"/>
  <c r="I20" i="6"/>
  <c r="K20" i="6"/>
  <c r="I34" i="6"/>
  <c r="K34" i="6" s="1"/>
  <c r="I70" i="6"/>
  <c r="K70" i="6" s="1"/>
  <c r="I6" i="6"/>
  <c r="K6" i="6" s="1"/>
  <c r="I42" i="6"/>
  <c r="K42" i="6" s="1"/>
  <c r="I78" i="6"/>
  <c r="K78" i="6"/>
  <c r="I89" i="6"/>
  <c r="K89" i="6"/>
  <c r="I56" i="6"/>
  <c r="K56" i="6" s="1"/>
  <c r="I7" i="6"/>
  <c r="K7" i="6" s="1"/>
  <c r="I19" i="6"/>
  <c r="K19" i="6" s="1"/>
  <c r="I63" i="6"/>
  <c r="K63" i="6" s="1"/>
  <c r="I99" i="6"/>
  <c r="K99" i="6"/>
  <c r="I23" i="6"/>
  <c r="K23" i="6"/>
  <c r="I30" i="6"/>
  <c r="K30" i="6" s="1"/>
  <c r="I29" i="6"/>
  <c r="K29" i="6"/>
  <c r="I74" i="6"/>
  <c r="K74" i="6"/>
  <c r="I25" i="6"/>
  <c r="K25" i="6" s="1"/>
  <c r="I97" i="6"/>
  <c r="K97" i="6" s="1"/>
  <c r="I41" i="6"/>
  <c r="K41" i="6"/>
  <c r="I5" i="6"/>
  <c r="K5" i="6"/>
  <c r="I67" i="6"/>
  <c r="K67" i="6" s="1"/>
  <c r="I39" i="6"/>
  <c r="K39" i="6" s="1"/>
  <c r="I86" i="6"/>
  <c r="K86" i="6" s="1"/>
  <c r="I16" i="6"/>
  <c r="K16" i="6" s="1"/>
  <c r="I53" i="6"/>
  <c r="K53" i="6"/>
  <c r="I26" i="6"/>
  <c r="K26" i="6" s="1"/>
  <c r="I37" i="6"/>
  <c r="K37" i="6" s="1"/>
  <c r="I73" i="6"/>
  <c r="K73" i="6" s="1"/>
  <c r="I9" i="6"/>
  <c r="K9" i="6" s="1"/>
  <c r="I45" i="6"/>
  <c r="K45" i="6" s="1"/>
  <c r="I81" i="6"/>
  <c r="K81" i="6" s="1"/>
  <c r="I92" i="6"/>
  <c r="K92" i="6" s="1"/>
  <c r="I11" i="6"/>
  <c r="K11" i="6"/>
  <c r="I24" i="6"/>
  <c r="K24" i="6" s="1"/>
  <c r="I55" i="6"/>
  <c r="K55" i="6" s="1"/>
  <c r="I58" i="6"/>
  <c r="K58" i="6" s="1"/>
  <c r="I102" i="6"/>
  <c r="K102" i="6" s="1"/>
  <c r="I33" i="6"/>
  <c r="K33" i="6" s="1"/>
  <c r="I59" i="6"/>
  <c r="K59" i="6"/>
  <c r="I32" i="6"/>
  <c r="K32" i="6"/>
  <c r="I40" i="6"/>
  <c r="K40" i="6" s="1"/>
  <c r="I76" i="6"/>
  <c r="K76" i="6" s="1"/>
  <c r="I12" i="6"/>
  <c r="K12" i="6"/>
  <c r="I48" i="6"/>
  <c r="K48" i="6" s="1"/>
  <c r="I84" i="6"/>
  <c r="K84" i="6" s="1"/>
  <c r="I95" i="6"/>
  <c r="K95" i="6" s="1"/>
  <c r="L102" i="6" l="1"/>
  <c r="M102" i="6" s="1"/>
  <c r="N102" i="6"/>
  <c r="O102" i="6" s="1"/>
  <c r="K15" i="2"/>
  <c r="L15" i="2" s="1"/>
  <c r="L49" i="6"/>
  <c r="N49" i="6"/>
  <c r="O49" i="6" s="1"/>
  <c r="M49" i="6"/>
  <c r="L43" i="6"/>
  <c r="M43" i="6" s="1"/>
  <c r="N43" i="6"/>
  <c r="O43" i="6" s="1"/>
  <c r="L84" i="6"/>
  <c r="M84" i="6" s="1"/>
  <c r="N84" i="6"/>
  <c r="O84" i="6" s="1"/>
  <c r="L93" i="6"/>
  <c r="M93" i="6" s="1"/>
  <c r="N93" i="6"/>
  <c r="O93" i="6" s="1"/>
  <c r="L92" i="6"/>
  <c r="M92" i="6"/>
  <c r="O92" i="6"/>
  <c r="N92" i="6"/>
  <c r="L10" i="6"/>
  <c r="O10" i="6"/>
  <c r="N10" i="6"/>
  <c r="M10" i="6"/>
  <c r="N54" i="6"/>
  <c r="O54" i="6" s="1"/>
  <c r="L54" i="6"/>
  <c r="M54" i="6" s="1"/>
  <c r="N45" i="6"/>
  <c r="O45" i="6" s="1"/>
  <c r="L45" i="6"/>
  <c r="M45" i="6" s="1"/>
  <c r="L19" i="6"/>
  <c r="O19" i="6"/>
  <c r="N19" i="6"/>
  <c r="M19" i="6"/>
  <c r="N36" i="6"/>
  <c r="O36" i="6" s="1"/>
  <c r="L36" i="6"/>
  <c r="M36" i="6" s="1"/>
  <c r="M18" i="6"/>
  <c r="O18" i="6"/>
  <c r="N18" i="6"/>
  <c r="L18" i="6"/>
  <c r="L67" i="6"/>
  <c r="N67" i="6"/>
  <c r="O67" i="6" s="1"/>
  <c r="M67" i="6"/>
  <c r="M15" i="6"/>
  <c r="N15" i="6"/>
  <c r="O15" i="6"/>
  <c r="L15" i="6"/>
  <c r="K11" i="2"/>
  <c r="L11" i="2" s="1"/>
  <c r="N11" i="2" s="1"/>
  <c r="L82" i="6"/>
  <c r="M82" i="6" s="1"/>
  <c r="N82" i="6"/>
  <c r="O82" i="6" s="1"/>
  <c r="L26" i="6"/>
  <c r="O26" i="6"/>
  <c r="N26" i="6"/>
  <c r="M26" i="6"/>
  <c r="L25" i="6"/>
  <c r="O25" i="6"/>
  <c r="N25" i="6"/>
  <c r="M25" i="6"/>
  <c r="O14" i="6"/>
  <c r="N14" i="6"/>
  <c r="M14" i="6"/>
  <c r="K14" i="2"/>
  <c r="L14" i="2" s="1"/>
  <c r="N14" i="2" s="1"/>
  <c r="L14" i="6"/>
  <c r="M24" i="6"/>
  <c r="O24" i="6"/>
  <c r="N24" i="6"/>
  <c r="L24" i="6"/>
  <c r="L56" i="6"/>
  <c r="M56" i="6" s="1"/>
  <c r="N56" i="6"/>
  <c r="O56" i="6" s="1"/>
  <c r="M105" i="6"/>
  <c r="L105" i="6"/>
  <c r="O105" i="6"/>
  <c r="N105" i="6"/>
  <c r="L31" i="6"/>
  <c r="O31" i="6"/>
  <c r="N31" i="6"/>
  <c r="M31" i="6"/>
  <c r="M72" i="6"/>
  <c r="O72" i="6"/>
  <c r="N72" i="6"/>
  <c r="L72" i="6"/>
  <c r="M9" i="6"/>
  <c r="O9" i="6"/>
  <c r="N9" i="6"/>
  <c r="L9" i="6"/>
  <c r="L86" i="6"/>
  <c r="N86" i="6"/>
  <c r="O86" i="6"/>
  <c r="M86" i="6"/>
  <c r="L61" i="6"/>
  <c r="M61" i="6" s="1"/>
  <c r="O61" i="6"/>
  <c r="N61" i="6"/>
  <c r="L46" i="6"/>
  <c r="M46" i="6" s="1"/>
  <c r="N46" i="6"/>
  <c r="O46" i="6" s="1"/>
  <c r="L65" i="6"/>
  <c r="M65" i="6" s="1"/>
  <c r="N65" i="6"/>
  <c r="O65" i="6"/>
  <c r="L70" i="6"/>
  <c r="N70" i="6"/>
  <c r="O70" i="6" s="1"/>
  <c r="M70" i="6"/>
  <c r="M60" i="6"/>
  <c r="N60" i="6"/>
  <c r="O60" i="6" s="1"/>
  <c r="L60" i="6"/>
  <c r="L58" i="6"/>
  <c r="N58" i="6"/>
  <c r="O58" i="6" s="1"/>
  <c r="M58" i="6"/>
  <c r="L55" i="6"/>
  <c r="M55" i="6" s="1"/>
  <c r="N55" i="6"/>
  <c r="O55" i="6" s="1"/>
  <c r="L79" i="6"/>
  <c r="N79" i="6"/>
  <c r="O79" i="6" s="1"/>
  <c r="M79" i="6"/>
  <c r="N75" i="6"/>
  <c r="O75" i="6" s="1"/>
  <c r="L75" i="6"/>
  <c r="M75" i="6" s="1"/>
  <c r="L80" i="6"/>
  <c r="M80" i="6" s="1"/>
  <c r="N80" i="6"/>
  <c r="O80" i="6" s="1"/>
  <c r="L101" i="6"/>
  <c r="M101" i="6" s="1"/>
  <c r="N101" i="6"/>
  <c r="O101" i="6" s="1"/>
  <c r="N48" i="6"/>
  <c r="O48" i="6" s="1"/>
  <c r="L48" i="6"/>
  <c r="M48" i="6" s="1"/>
  <c r="L94" i="6"/>
  <c r="N94" i="6"/>
  <c r="M94" i="6"/>
  <c r="O94" i="6"/>
  <c r="L90" i="6"/>
  <c r="M90" i="6" s="1"/>
  <c r="N90" i="6"/>
  <c r="O90" i="6" s="1"/>
  <c r="M81" i="6"/>
  <c r="O81" i="6"/>
  <c r="N81" i="6"/>
  <c r="L81" i="6"/>
  <c r="M66" i="6"/>
  <c r="N66" i="6"/>
  <c r="O66" i="6" s="1"/>
  <c r="L66" i="6"/>
  <c r="L76" i="6"/>
  <c r="O76" i="6"/>
  <c r="N76" i="6"/>
  <c r="M76" i="6"/>
  <c r="L16" i="6"/>
  <c r="O16" i="6"/>
  <c r="N16" i="6"/>
  <c r="K12" i="2"/>
  <c r="L12" i="2" s="1"/>
  <c r="N12" i="2" s="1"/>
  <c r="M16" i="6"/>
  <c r="L7" i="6"/>
  <c r="O7" i="6"/>
  <c r="K6" i="2"/>
  <c r="L6" i="2" s="1"/>
  <c r="N6" i="2" s="1"/>
  <c r="N7" i="6"/>
  <c r="M7" i="6"/>
  <c r="N42" i="6"/>
  <c r="O42" i="6" s="1"/>
  <c r="L42" i="6"/>
  <c r="M42" i="6" s="1"/>
  <c r="L73" i="6"/>
  <c r="M73" i="6" s="1"/>
  <c r="O73" i="6"/>
  <c r="N73" i="6"/>
  <c r="L37" i="6"/>
  <c r="M37" i="6" s="1"/>
  <c r="N37" i="6"/>
  <c r="O37" i="6" s="1"/>
  <c r="N39" i="6"/>
  <c r="O39" i="6" s="1"/>
  <c r="L39" i="6"/>
  <c r="M39" i="6" s="1"/>
  <c r="M27" i="6"/>
  <c r="O27" i="6"/>
  <c r="N27" i="6"/>
  <c r="L27" i="6"/>
  <c r="L52" i="6"/>
  <c r="M52" i="6" s="1"/>
  <c r="N52" i="6"/>
  <c r="O52" i="6" s="1"/>
  <c r="L44" i="6"/>
  <c r="N44" i="6"/>
  <c r="O44" i="6" s="1"/>
  <c r="M44" i="6"/>
  <c r="M104" i="6"/>
  <c r="L104" i="6"/>
  <c r="N104" i="6"/>
  <c r="O104" i="6"/>
  <c r="L71" i="6"/>
  <c r="N71" i="6"/>
  <c r="M71" i="6"/>
  <c r="O71" i="6"/>
  <c r="L97" i="6"/>
  <c r="M97" i="6" s="1"/>
  <c r="N97" i="6"/>
  <c r="O97" i="6" s="1"/>
  <c r="L38" i="6"/>
  <c r="N38" i="6"/>
  <c r="O38" i="6" s="1"/>
  <c r="M38" i="6"/>
  <c r="L74" i="6"/>
  <c r="O74" i="6"/>
  <c r="N74" i="6"/>
  <c r="M74" i="6"/>
  <c r="M6" i="6"/>
  <c r="O6" i="6"/>
  <c r="N6" i="6"/>
  <c r="L6" i="6"/>
  <c r="K5" i="2"/>
  <c r="L5" i="2" s="1"/>
  <c r="N5" i="2" s="1"/>
  <c r="L64" i="6"/>
  <c r="M64" i="6" s="1"/>
  <c r="O64" i="6"/>
  <c r="N64" i="6"/>
  <c r="L22" i="6"/>
  <c r="O22" i="6"/>
  <c r="N22" i="6"/>
  <c r="M22" i="6"/>
  <c r="K13" i="2"/>
  <c r="L13" i="2" s="1"/>
  <c r="N13" i="2" s="1"/>
  <c r="N57" i="6"/>
  <c r="O57" i="6" s="1"/>
  <c r="L57" i="6"/>
  <c r="M57" i="6" s="1"/>
  <c r="N51" i="6"/>
  <c r="O51" i="6" s="1"/>
  <c r="L51" i="6"/>
  <c r="M51" i="6" s="1"/>
  <c r="M87" i="6"/>
  <c r="L87" i="6"/>
  <c r="N87" i="6"/>
  <c r="O87" i="6" s="1"/>
  <c r="L59" i="6"/>
  <c r="N59" i="6"/>
  <c r="M59" i="6"/>
  <c r="O59" i="6"/>
  <c r="L47" i="6"/>
  <c r="M47" i="6" s="1"/>
  <c r="N47" i="6"/>
  <c r="O47" i="6" s="1"/>
  <c r="L88" i="6"/>
  <c r="M88" i="6" s="1"/>
  <c r="N88" i="6"/>
  <c r="O88" i="6" s="1"/>
  <c r="L41" i="6"/>
  <c r="N41" i="6"/>
  <c r="M41" i="6"/>
  <c r="O41" i="6"/>
  <c r="L23" i="6"/>
  <c r="N23" i="6"/>
  <c r="M23" i="6"/>
  <c r="O23" i="6"/>
  <c r="N33" i="6"/>
  <c r="O33" i="6" s="1"/>
  <c r="L33" i="6"/>
  <c r="M33" i="6" s="1"/>
  <c r="L13" i="6"/>
  <c r="O13" i="6"/>
  <c r="K8" i="2"/>
  <c r="L8" i="2" s="1"/>
  <c r="N8" i="2" s="1"/>
  <c r="N13" i="6"/>
  <c r="M13" i="6"/>
  <c r="O8" i="6"/>
  <c r="N8" i="6"/>
  <c r="M8" i="6"/>
  <c r="L8" i="6"/>
  <c r="K7" i="2"/>
  <c r="L7" i="2" s="1"/>
  <c r="N7" i="2" s="1"/>
  <c r="L62" i="6"/>
  <c r="O62" i="6"/>
  <c r="N62" i="6"/>
  <c r="M62" i="6"/>
  <c r="L99" i="6"/>
  <c r="M99" i="6" s="1"/>
  <c r="N99" i="6"/>
  <c r="O99" i="6" s="1"/>
  <c r="M69" i="6"/>
  <c r="O69" i="6"/>
  <c r="N69" i="6"/>
  <c r="L69" i="6"/>
  <c r="M96" i="6"/>
  <c r="L96" i="6"/>
  <c r="O96" i="6"/>
  <c r="N96" i="6"/>
  <c r="L28" i="6"/>
  <c r="O28" i="6"/>
  <c r="N28" i="6"/>
  <c r="M28" i="6"/>
  <c r="L91" i="6"/>
  <c r="M91" i="6" s="1"/>
  <c r="N91" i="6"/>
  <c r="O91" i="6" s="1"/>
  <c r="M21" i="6"/>
  <c r="K9" i="2"/>
  <c r="L9" i="2" s="1"/>
  <c r="N9" i="2" s="1"/>
  <c r="O21" i="6"/>
  <c r="N21" i="6"/>
  <c r="L21" i="6"/>
  <c r="L34" i="6"/>
  <c r="M34" i="6" s="1"/>
  <c r="N34" i="6"/>
  <c r="O34" i="6" s="1"/>
  <c r="L95" i="6"/>
  <c r="N95" i="6"/>
  <c r="O95" i="6"/>
  <c r="M95" i="6"/>
  <c r="L53" i="6"/>
  <c r="N53" i="6"/>
  <c r="M53" i="6"/>
  <c r="O53" i="6"/>
  <c r="L89" i="6"/>
  <c r="N89" i="6"/>
  <c r="M89" i="6"/>
  <c r="O89" i="6"/>
  <c r="N78" i="6"/>
  <c r="O78" i="6" s="1"/>
  <c r="L78" i="6"/>
  <c r="M78" i="6" s="1"/>
  <c r="L103" i="6"/>
  <c r="M103" i="6" s="1"/>
  <c r="N103" i="6"/>
  <c r="O103" i="6" s="1"/>
  <c r="L50" i="6"/>
  <c r="M50" i="6" s="1"/>
  <c r="N50" i="6"/>
  <c r="O50" i="6" s="1"/>
  <c r="L98" i="6"/>
  <c r="M98" i="6" s="1"/>
  <c r="N98" i="6"/>
  <c r="O98" i="6"/>
  <c r="M12" i="6"/>
  <c r="O12" i="6"/>
  <c r="N12" i="6"/>
  <c r="L12" i="6"/>
  <c r="M11" i="6"/>
  <c r="L11" i="6"/>
  <c r="O11" i="6"/>
  <c r="N11" i="6"/>
  <c r="L29" i="6"/>
  <c r="N29" i="6"/>
  <c r="M29" i="6"/>
  <c r="O29" i="6"/>
  <c r="L68" i="6"/>
  <c r="M68" i="6" s="1"/>
  <c r="O68" i="6"/>
  <c r="N68" i="6"/>
  <c r="L83" i="6"/>
  <c r="M83" i="6"/>
  <c r="N83" i="6"/>
  <c r="O83" i="6" s="1"/>
  <c r="L35" i="6"/>
  <c r="M35" i="6" s="1"/>
  <c r="N35" i="6"/>
  <c r="O35" i="6" s="1"/>
  <c r="L85" i="6"/>
  <c r="N85" i="6"/>
  <c r="M85" i="6"/>
  <c r="O85" i="6"/>
  <c r="L40" i="6"/>
  <c r="M40" i="6" s="1"/>
  <c r="N40" i="6"/>
  <c r="O40" i="6" s="1"/>
  <c r="M30" i="6"/>
  <c r="O30" i="6"/>
  <c r="N30" i="6"/>
  <c r="L30" i="6"/>
  <c r="N63" i="6"/>
  <c r="O63" i="6" s="1"/>
  <c r="L63" i="6"/>
  <c r="M63" i="6" s="1"/>
  <c r="L77" i="6"/>
  <c r="M77" i="6" s="1"/>
  <c r="O77" i="6"/>
  <c r="N77" i="6"/>
  <c r="K16" i="2"/>
  <c r="L16" i="2" s="1"/>
  <c r="L17" i="6"/>
  <c r="N17" i="6"/>
  <c r="M17" i="6"/>
  <c r="O17" i="6"/>
  <c r="L32" i="6"/>
  <c r="O32" i="6"/>
  <c r="N32" i="6"/>
  <c r="M32" i="6"/>
  <c r="L20" i="6"/>
  <c r="O20" i="6"/>
  <c r="N20" i="6"/>
  <c r="M20" i="6"/>
  <c r="L100" i="6"/>
  <c r="M100" i="6" s="1"/>
  <c r="N100" i="6"/>
  <c r="O100" i="6" s="1"/>
  <c r="B30" i="2"/>
  <c r="K10" i="2"/>
  <c r="L10" i="2" s="1"/>
  <c r="N10" i="2" s="1"/>
  <c r="O5" i="6"/>
  <c r="N5" i="6"/>
  <c r="M5" i="6"/>
  <c r="L5" i="6"/>
  <c r="B103" i="2" l="1"/>
  <c r="B101" i="2"/>
  <c r="B96" i="2"/>
  <c r="B99" i="2"/>
  <c r="B95" i="2"/>
  <c r="A93" i="2"/>
  <c r="B104" i="2"/>
  <c r="B106" i="2"/>
  <c r="B100" i="2"/>
  <c r="B102" i="2"/>
  <c r="B97" i="2"/>
  <c r="B98" i="2"/>
  <c r="B105" i="2"/>
  <c r="B84" i="2"/>
  <c r="B85" i="2"/>
  <c r="B46" i="2"/>
  <c r="B42" i="2"/>
  <c r="B70" i="2"/>
  <c r="B69" i="2"/>
  <c r="B71" i="2"/>
  <c r="B73" i="2"/>
  <c r="B65" i="2"/>
  <c r="B66" i="2"/>
  <c r="B45" i="2"/>
  <c r="B88" i="2"/>
  <c r="B56" i="2"/>
  <c r="B57" i="2"/>
  <c r="B58" i="2"/>
  <c r="B59" i="2"/>
  <c r="B53" i="2"/>
  <c r="B52" i="2"/>
  <c r="B51" i="2"/>
  <c r="B40" i="2"/>
  <c r="B83" i="2"/>
  <c r="B91" i="2"/>
  <c r="B44" i="2"/>
  <c r="A78" i="2"/>
  <c r="A48" i="2"/>
  <c r="B35" i="2"/>
  <c r="B89" i="2"/>
  <c r="B81" i="2"/>
  <c r="B36" i="2"/>
  <c r="B39" i="2"/>
  <c r="B74" i="2"/>
  <c r="B82" i="2"/>
  <c r="B37" i="2"/>
  <c r="B86" i="2"/>
  <c r="B87" i="2"/>
  <c r="B75" i="2"/>
  <c r="B43" i="2"/>
  <c r="B67" i="2"/>
  <c r="B72" i="2"/>
  <c r="B80" i="2"/>
  <c r="B50" i="2"/>
  <c r="B41" i="2"/>
  <c r="B60" i="2"/>
  <c r="A33" i="2"/>
  <c r="B61" i="2"/>
  <c r="B55" i="2"/>
  <c r="B90" i="2"/>
  <c r="A63" i="2"/>
  <c r="B68" i="2"/>
  <c r="B38" i="2"/>
  <c r="B76" i="2"/>
  <c r="B54" i="2"/>
  <c r="D106" i="2" l="1"/>
  <c r="F106" i="2"/>
  <c r="G106" i="2"/>
  <c r="E106" i="2"/>
  <c r="A106" i="2"/>
  <c r="C106" i="2"/>
  <c r="E104" i="2"/>
  <c r="D104" i="2"/>
  <c r="F104" i="2"/>
  <c r="A104" i="2"/>
  <c r="C104" i="2"/>
  <c r="G104" i="2"/>
  <c r="A98" i="2"/>
  <c r="F98" i="2"/>
  <c r="C98" i="2"/>
  <c r="E98" i="2"/>
  <c r="D98" i="2"/>
  <c r="G98" i="2" s="1"/>
  <c r="A97" i="2"/>
  <c r="G97" i="2"/>
  <c r="F97" i="2"/>
  <c r="E97" i="2"/>
  <c r="C97" i="2"/>
  <c r="D97" i="2"/>
  <c r="D102" i="2"/>
  <c r="G102" i="2"/>
  <c r="C102" i="2"/>
  <c r="E102" i="2"/>
  <c r="F102" i="2"/>
  <c r="A102" i="2"/>
  <c r="F100" i="2"/>
  <c r="C100" i="2"/>
  <c r="E100" i="2"/>
  <c r="D100" i="2"/>
  <c r="G100" i="2" s="1"/>
  <c r="A100" i="2"/>
  <c r="F93" i="2"/>
  <c r="E95" i="2"/>
  <c r="A95" i="2"/>
  <c r="F95" i="2"/>
  <c r="D95" i="2"/>
  <c r="C95" i="2"/>
  <c r="G95" i="2"/>
  <c r="G99" i="2"/>
  <c r="F99" i="2"/>
  <c r="C99" i="2"/>
  <c r="A99" i="2"/>
  <c r="E99" i="2"/>
  <c r="D99" i="2"/>
  <c r="D96" i="2"/>
  <c r="C96" i="2"/>
  <c r="E96" i="2"/>
  <c r="A96" i="2"/>
  <c r="G96" i="2"/>
  <c r="F96" i="2"/>
  <c r="D101" i="2"/>
  <c r="G101" i="2" s="1"/>
  <c r="C101" i="2"/>
  <c r="E101" i="2"/>
  <c r="A101" i="2"/>
  <c r="F101" i="2"/>
  <c r="F105" i="2"/>
  <c r="E105" i="2"/>
  <c r="C105" i="2"/>
  <c r="D105" i="2"/>
  <c r="G105" i="2"/>
  <c r="A105" i="2"/>
  <c r="E103" i="2"/>
  <c r="D103" i="2"/>
  <c r="G103" i="2"/>
  <c r="C103" i="2"/>
  <c r="F103" i="2"/>
  <c r="A103" i="2"/>
  <c r="G44" i="2"/>
  <c r="F44" i="2"/>
  <c r="E44" i="2"/>
  <c r="D44" i="2"/>
  <c r="C44" i="2"/>
  <c r="A44" i="2"/>
  <c r="D45" i="2"/>
  <c r="C45" i="2"/>
  <c r="A45" i="2"/>
  <c r="G45" i="2"/>
  <c r="F45" i="2"/>
  <c r="E45" i="2"/>
  <c r="F86" i="2"/>
  <c r="E86" i="2"/>
  <c r="D86" i="2"/>
  <c r="G86" i="2" s="1"/>
  <c r="C86" i="2"/>
  <c r="A86" i="2"/>
  <c r="A91" i="2"/>
  <c r="G91" i="2"/>
  <c r="F91" i="2"/>
  <c r="E91" i="2"/>
  <c r="D91" i="2"/>
  <c r="C91" i="2"/>
  <c r="A66" i="2"/>
  <c r="F66" i="2"/>
  <c r="E66" i="2"/>
  <c r="D66" i="2"/>
  <c r="G66" i="2" s="1"/>
  <c r="C66" i="2"/>
  <c r="G88" i="2"/>
  <c r="F88" i="2"/>
  <c r="E88" i="2"/>
  <c r="D88" i="2"/>
  <c r="C88" i="2"/>
  <c r="A88" i="2"/>
  <c r="F37" i="2"/>
  <c r="E37" i="2"/>
  <c r="D37" i="2"/>
  <c r="G37" i="2" s="1"/>
  <c r="C37" i="2"/>
  <c r="A37" i="2"/>
  <c r="F39" i="2"/>
  <c r="E39" i="2"/>
  <c r="D39" i="2"/>
  <c r="G39" i="2" s="1"/>
  <c r="C39" i="2"/>
  <c r="A39" i="2"/>
  <c r="A75" i="2"/>
  <c r="G75" i="2"/>
  <c r="F75" i="2"/>
  <c r="E75" i="2"/>
  <c r="D75" i="2"/>
  <c r="C75" i="2"/>
  <c r="E61" i="2"/>
  <c r="A61" i="2"/>
  <c r="G61" i="2"/>
  <c r="F61" i="2"/>
  <c r="D61" i="2"/>
  <c r="C61" i="2"/>
  <c r="G60" i="2"/>
  <c r="F60" i="2"/>
  <c r="E60" i="2"/>
  <c r="D60" i="2"/>
  <c r="C60" i="2"/>
  <c r="A60" i="2"/>
  <c r="A50" i="2"/>
  <c r="F50" i="2"/>
  <c r="E50" i="2"/>
  <c r="D50" i="2"/>
  <c r="G50" i="2" s="1"/>
  <c r="C50" i="2"/>
  <c r="F48" i="2"/>
  <c r="A53" i="2"/>
  <c r="F53" i="2"/>
  <c r="E53" i="2"/>
  <c r="D53" i="2"/>
  <c r="C53" i="2"/>
  <c r="G53" i="2"/>
  <c r="F70" i="2"/>
  <c r="E70" i="2"/>
  <c r="D70" i="2"/>
  <c r="G70" i="2" s="1"/>
  <c r="C70" i="2"/>
  <c r="A70" i="2"/>
  <c r="E87" i="2"/>
  <c r="A87" i="2"/>
  <c r="G87" i="2"/>
  <c r="F87" i="2"/>
  <c r="D87" i="2"/>
  <c r="C87" i="2"/>
  <c r="D83" i="2"/>
  <c r="G83" i="2" s="1"/>
  <c r="C83" i="2"/>
  <c r="A83" i="2"/>
  <c r="F83" i="2"/>
  <c r="E83" i="2"/>
  <c r="C73" i="2"/>
  <c r="A73" i="2"/>
  <c r="G73" i="2"/>
  <c r="F73" i="2"/>
  <c r="E73" i="2"/>
  <c r="D73" i="2"/>
  <c r="C51" i="2"/>
  <c r="F51" i="2"/>
  <c r="E51" i="2"/>
  <c r="D51" i="2"/>
  <c r="G51" i="2" s="1"/>
  <c r="A51" i="2"/>
  <c r="F52" i="2"/>
  <c r="E52" i="2"/>
  <c r="D52" i="2"/>
  <c r="G52" i="2" s="1"/>
  <c r="C52" i="2"/>
  <c r="A52" i="2"/>
  <c r="C36" i="2"/>
  <c r="A36" i="2"/>
  <c r="F36" i="2"/>
  <c r="E36" i="2"/>
  <c r="D36" i="2"/>
  <c r="G36" i="2" s="1"/>
  <c r="F54" i="2"/>
  <c r="E54" i="2"/>
  <c r="D54" i="2"/>
  <c r="G54" i="2" s="1"/>
  <c r="C54" i="2"/>
  <c r="A54" i="2"/>
  <c r="F80" i="2"/>
  <c r="E80" i="2"/>
  <c r="D80" i="2"/>
  <c r="G80" i="2" s="1"/>
  <c r="C80" i="2"/>
  <c r="A80" i="2"/>
  <c r="F78" i="2"/>
  <c r="E81" i="2"/>
  <c r="D81" i="2"/>
  <c r="G81" i="2" s="1"/>
  <c r="C81" i="2"/>
  <c r="A81" i="2"/>
  <c r="F81" i="2"/>
  <c r="G59" i="2"/>
  <c r="C59" i="2"/>
  <c r="A59" i="2"/>
  <c r="F59" i="2"/>
  <c r="E59" i="2"/>
  <c r="D59" i="2"/>
  <c r="G42" i="2"/>
  <c r="F42" i="2"/>
  <c r="E42" i="2"/>
  <c r="D42" i="2"/>
  <c r="C42" i="2"/>
  <c r="A42" i="2"/>
  <c r="G90" i="2"/>
  <c r="F90" i="2"/>
  <c r="E90" i="2"/>
  <c r="D90" i="2"/>
  <c r="C90" i="2"/>
  <c r="A90" i="2"/>
  <c r="A40" i="2"/>
  <c r="F40" i="2"/>
  <c r="E40" i="2"/>
  <c r="D40" i="2"/>
  <c r="G40" i="2" s="1"/>
  <c r="C40" i="2"/>
  <c r="F41" i="2"/>
  <c r="E41" i="2"/>
  <c r="D41" i="2"/>
  <c r="G41" i="2" s="1"/>
  <c r="C41" i="2"/>
  <c r="A41" i="2"/>
  <c r="G58" i="2"/>
  <c r="F58" i="2"/>
  <c r="E58" i="2"/>
  <c r="D58" i="2"/>
  <c r="C58" i="2"/>
  <c r="A58" i="2"/>
  <c r="G46" i="2"/>
  <c r="F46" i="2"/>
  <c r="E46" i="2"/>
  <c r="D46" i="2"/>
  <c r="C46" i="2"/>
  <c r="A46" i="2"/>
  <c r="E55" i="2"/>
  <c r="D55" i="2"/>
  <c r="C55" i="2"/>
  <c r="A55" i="2"/>
  <c r="G55" i="2"/>
  <c r="F55" i="2"/>
  <c r="F65" i="2"/>
  <c r="E65" i="2"/>
  <c r="D65" i="2"/>
  <c r="G65" i="2" s="1"/>
  <c r="C65" i="2"/>
  <c r="A65" i="2"/>
  <c r="F63" i="2"/>
  <c r="D82" i="2"/>
  <c r="G82" i="2"/>
  <c r="F82" i="2"/>
  <c r="E82" i="2"/>
  <c r="C82" i="2"/>
  <c r="A82" i="2"/>
  <c r="E74" i="2"/>
  <c r="G74" i="2"/>
  <c r="F74" i="2"/>
  <c r="D74" i="2"/>
  <c r="C74" i="2"/>
  <c r="A74" i="2"/>
  <c r="D69" i="2"/>
  <c r="E69" i="2"/>
  <c r="C69" i="2"/>
  <c r="A69" i="2"/>
  <c r="G69" i="2"/>
  <c r="F69" i="2"/>
  <c r="F72" i="2"/>
  <c r="E72" i="2"/>
  <c r="D72" i="2"/>
  <c r="G72" i="2" s="1"/>
  <c r="C72" i="2"/>
  <c r="A72" i="2"/>
  <c r="C89" i="2"/>
  <c r="A89" i="2"/>
  <c r="G89" i="2"/>
  <c r="F89" i="2"/>
  <c r="E89" i="2"/>
  <c r="D89" i="2"/>
  <c r="A38" i="2"/>
  <c r="F38" i="2"/>
  <c r="E38" i="2"/>
  <c r="D38" i="2"/>
  <c r="G38" i="2" s="1"/>
  <c r="C38" i="2"/>
  <c r="F67" i="2"/>
  <c r="E67" i="2"/>
  <c r="D67" i="2"/>
  <c r="G67" i="2" s="1"/>
  <c r="C67" i="2"/>
  <c r="A67" i="2"/>
  <c r="F35" i="2"/>
  <c r="E35" i="2"/>
  <c r="D35" i="2"/>
  <c r="G35" i="2" s="1"/>
  <c r="C35" i="2"/>
  <c r="A35" i="2"/>
  <c r="F33" i="2"/>
  <c r="D57" i="2"/>
  <c r="G57" i="2" s="1"/>
  <c r="C57" i="2"/>
  <c r="A57" i="2"/>
  <c r="F57" i="2"/>
  <c r="E57" i="2"/>
  <c r="C85" i="2"/>
  <c r="A85" i="2"/>
  <c r="F85" i="2"/>
  <c r="E85" i="2"/>
  <c r="D85" i="2"/>
  <c r="G85" i="2" s="1"/>
  <c r="D71" i="2"/>
  <c r="G71" i="2" s="1"/>
  <c r="C71" i="2"/>
  <c r="A71" i="2"/>
  <c r="F71" i="2"/>
  <c r="E71" i="2"/>
  <c r="C76" i="2"/>
  <c r="G76" i="2"/>
  <c r="F76" i="2"/>
  <c r="E76" i="2"/>
  <c r="D76" i="2"/>
  <c r="A76" i="2"/>
  <c r="F68" i="2"/>
  <c r="E68" i="2"/>
  <c r="D68" i="2"/>
  <c r="G68" i="2" s="1"/>
  <c r="C68" i="2"/>
  <c r="A68" i="2"/>
  <c r="D43" i="2"/>
  <c r="E43" i="2"/>
  <c r="C43" i="2"/>
  <c r="A43" i="2"/>
  <c r="G43" i="2"/>
  <c r="F43" i="2"/>
  <c r="D56" i="2"/>
  <c r="G56" i="2"/>
  <c r="F56" i="2"/>
  <c r="E56" i="2"/>
  <c r="C56" i="2"/>
  <c r="A56" i="2"/>
  <c r="F84" i="2"/>
  <c r="E84" i="2"/>
  <c r="D84" i="2"/>
  <c r="G84" i="2" s="1"/>
  <c r="C84" i="2"/>
  <c r="A84" i="2"/>
</calcChain>
</file>

<file path=xl/sharedStrings.xml><?xml version="1.0" encoding="utf-8"?>
<sst xmlns="http://schemas.openxmlformats.org/spreadsheetml/2006/main" count="1197" uniqueCount="310">
  <si>
    <t>Treino padrão de cadastro — regras de referência</t>
  </si>
  <si>
    <t>COMO USAR</t>
  </si>
  <si>
    <t>1. Aba Gerador: escolha sexo, nível e objetivos (Sim/Não). O treino padrão aparece por dia, com séries, repetições e descanso, e a checagem de volume semanal mostra 'OK/Abaixo/Acima' por grupo.</t>
  </si>
  <si>
    <t>2. Abas Niveis e Objetivos: parâmetros editáveis (azul). Aba Sessoes: templates de dia/slot. Aba Exercicios: lista padrão e ORDEM de preferência. Aba Algoritmo: passo a passo e pseudocódigo.</t>
  </si>
  <si>
    <t>O QUE CADA VARIÁVEL DECIDE</t>
  </si>
  <si>
    <t>NÍVEL: frequência semanal, volume, séries por exercício, esforço (RIR), quantos exercícios por sessão e quais exercícios são elegíveis (nível mínimo do exercício ≤ nível).</t>
  </si>
  <si>
    <t>OBJETIVO: repetições, descanso, cardio semanal, limite de dias (Criar uma Rotina e Saúde &amp; Bem-estar = 3) e teto de nível. Vários objetivos: vale o de menor prioridade; o cardio usa o maior valor.</t>
  </si>
  <si>
    <t>SEXO: NÃO muda carga, repetições nem descanso. Muda só a ênfase de 2 slots por semana (linhas com Sexo = M, F ou N na aba Sessoes): Masculino = peito/panturrilha; Feminino = ombros (laterais)/glúteos; Não informar = bíceps ou tríceps/abdômen.</t>
  </si>
  <si>
    <t>PREMISSAS E LIMITAÇÕES</t>
  </si>
  <si>
    <t>• A diferença de sexo na prescrição de treino é pequena na literatura; a ênfase acima é uma escolha de PRODUTO (preferências típicas), não uma exigência fisiológica. Para um treino idêntico, troque o Sexo dessas linhas para 'Todos' (e apague as alternativas duplicadas).</t>
  </si>
  <si>
    <t>• Faixas de volume por nível, divisões de treino, ordem de prioridade dos objetivos, teto de nível por objetivo e ordem dos exercícios são regras do projeto (não vêm de uma única fonte). Revise com um profissional de educação física.</t>
  </si>
  <si>
    <t>• A seleção de exercício usa a ordem da lista: dentro de cada Grupo+Tipo, o primeiro exercício disponível para o nível é o preferido.</t>
  </si>
  <si>
    <t>• É um treino DEFAULT de cadastro; o usuário deve poder trocar exercícios. Quem tiver condição de saúde relevante deve procurar avaliação profissional antes de treinar.</t>
  </si>
  <si>
    <t>FONTES DE APOIO</t>
  </si>
  <si>
    <t>Schoenfeld BJ et al., 2017, J Sports Sci — relação dose-resposta entre volume semanal e hipertrofia.</t>
  </si>
  <si>
    <t>OMS, Diretrizes de atividade física e comportamento sedentário, 2020 — 150–300 min/sem aeróbico moderado e ≥2 dias/sem de fortalecimento muscular.</t>
  </si>
  <si>
    <t>LEGENDA DE CORES</t>
  </si>
  <si>
    <t>Fundo amarelo + texto azul = entrada do usuário  |  Texto azul = parâmetro editável  |  Texto preto = fórmula/texto  |  Fundo cinza = cálculo auxiliar.</t>
  </si>
  <si>
    <t>Gerador do treino padrão de cadastro</t>
  </si>
  <si>
    <t>Preencha as células amarelas (sexo, nível e objetivos). O treino padrão e a checagem de volume semanal recalculam sozinhos. Exemplo pré-preenchido: mulher, Intermediário, objetivo Ganhar Massa Muscular.</t>
  </si>
  <si>
    <t>CHECAGEM DE VOLUME SEMANAL (direto, por grupo)</t>
  </si>
  <si>
    <t>DADOS DO USUÁRIO</t>
  </si>
  <si>
    <t>Grupo muscular</t>
  </si>
  <si>
    <t>Classe</t>
  </si>
  <si>
    <t>Exercícios/sem</t>
  </si>
  <si>
    <t>Séries/sem</t>
  </si>
  <si>
    <t>Faixa da regra</t>
  </si>
  <si>
    <t>Status</t>
  </si>
  <si>
    <t>Sexo</t>
  </si>
  <si>
    <t>Peito</t>
  </si>
  <si>
    <t>Grande</t>
  </si>
  <si>
    <t>Nível físico</t>
  </si>
  <si>
    <t>Intermediário</t>
  </si>
  <si>
    <t>Costas</t>
  </si>
  <si>
    <t>Ombros</t>
  </si>
  <si>
    <t>Objetivos (Sim/Não)</t>
  </si>
  <si>
    <t>Selecionado?</t>
  </si>
  <si>
    <t>Prioridade (aux.)</t>
  </si>
  <si>
    <t>Cardio min/sem (aux.)</t>
  </si>
  <si>
    <t>Bíceps</t>
  </si>
  <si>
    <t>Pequeno</t>
  </si>
  <si>
    <t>Não</t>
  </si>
  <si>
    <t>Tríceps</t>
  </si>
  <si>
    <t>Sim</t>
  </si>
  <si>
    <t>Quadríceps</t>
  </si>
  <si>
    <t>Posterior de coxa</t>
  </si>
  <si>
    <t>Glúteos</t>
  </si>
  <si>
    <t>Panturrilha</t>
  </si>
  <si>
    <t>Abdômen</t>
  </si>
  <si>
    <t>Lombar</t>
  </si>
  <si>
    <t>Acessório</t>
  </si>
  <si>
    <t>PERFIL DE TREINO DEFINIDO</t>
  </si>
  <si>
    <t>Antebraço</t>
  </si>
  <si>
    <t>Prioridade do objetivo principal (aux.)</t>
  </si>
  <si>
    <t>Objetivo principal</t>
  </si>
  <si>
    <t>Nível efetivo</t>
  </si>
  <si>
    <t>Frequência semanal (dias)</t>
  </si>
  <si>
    <t>Código de sexo para os slots (aux.)</t>
  </si>
  <si>
    <t>Séries por exercício</t>
  </si>
  <si>
    <t>Repetições por série</t>
  </si>
  <si>
    <t>Descanso — compostos (s)</t>
  </si>
  <si>
    <t>Descanso — isolados (s)</t>
  </si>
  <si>
    <t>Esforço (RIR)</t>
  </si>
  <si>
    <t>Duração recomendada da sessão (min)</t>
  </si>
  <si>
    <t>Cardio semanal (min)</t>
  </si>
  <si>
    <t>Tipo de cardio</t>
  </si>
  <si>
    <t>Observação</t>
  </si>
  <si>
    <t>TREINO PADRÃO GERADO</t>
  </si>
  <si>
    <t>#</t>
  </si>
  <si>
    <t>Exercício</t>
  </si>
  <si>
    <t>Grupo</t>
  </si>
  <si>
    <t>Tipo</t>
  </si>
  <si>
    <t>Séries</t>
  </si>
  <si>
    <t>Repetições</t>
  </si>
  <si>
    <t>Descanso (s)</t>
  </si>
  <si>
    <t>Algoritmo de geração do treino padrão (referência para implementação)</t>
  </si>
  <si>
    <t>ENTRADAS</t>
  </si>
  <si>
    <t>sexo ∈ {Masculino, Feminino, Não informar}   |   nivel ∈ {Iniciante, Intermediário, Avançado}   |   objetivos = subconjunto dos 6 objetivos do app (pode ser vazio)</t>
  </si>
  <si>
    <t>PASSO A PASSO</t>
  </si>
  <si>
    <t>1. principal = objetivo marcado com MENOR número de prioridade (aba Objetivos). Se nenhum marcado: 'Saúde &amp; Bem-estar'.</t>
  </si>
  <si>
    <t>2. nivelEfetivo = mínimo entre nivel e principal.nivelMaxVolume  (ex.: 'Criar uma Rotina' limita a Iniciante).</t>
  </si>
  <si>
    <t>3. frequencia = mínimo entre Niveis[nivelEfetivo].frequencia e principal.frequenciaMax.</t>
  </si>
  <si>
    <t>4. series = Niveis[nivelEfetivo].seriesPorExercicio;  reps = [principal.repsMin, principal.repsMax];  descanso = principal.descansoComposto / principal.descansoIsolado (por tipo do exercício);  RIR = Niveis[nivelEfetivo].rir.</t>
  </si>
  <si>
    <t>5. codigoSexo = 'M' | 'F' | 'N' (Não informar).</t>
  </si>
  <si>
    <t>6. slots = linhas da aba Sessoes onde dias == frequencia  E  rank(slot.nivelMin) ≤ rank(nivelEfetivo)  E  slot.sexo ∈ {'Todos', codigoSexo}  (mantendo a ordem das linhas).</t>
  </si>
  <si>
    <t>7. elegiveis[grupo][tipo] = exercícios da aba Exercicios com rank(nivelMin) ≤ rank(nivelEfetivo), NA ORDEM da lista.</t>
  </si>
  <si>
    <t>8. contador[grupo][tipo] = 0. Para cada slot, em ordem:  contador[g][t]++ ;  se contador[g][t] &gt; len(elegiveis[g][t]) → descarta o slot; senão exercicio = elegiveis[g][t][contador[g][t] − 1].</t>
  </si>
  <si>
    <t>9. Agrupar os slots mantidos por 'dia' (mesma ordem) → sessões do treino. Cada exercício recebe series, reps e descanso do passo 4.</t>
  </si>
  <si>
    <t>10. cardioSemanal = máximo entre o cardio de todos os objetivos marcados (e do principal).</t>
  </si>
  <si>
    <t>11. Validação: para cada grupo, séries/semana = nº de slots mantidos do grupo × series. Comparar com a faixa do nível (grandes / pequenos). Lombar e Antebraço são acessórios (sem meta).</t>
  </si>
  <si>
    <t>PSEUDOCÓDIGO</t>
  </si>
  <si>
    <t>function gerarTreino(sexo, nivel, objetivos):</t>
  </si>
  <si>
    <t xml:space="preserve">    principal   = min(objetivos or ['Saúde &amp; Bem-estar'], key = prioridade)</t>
  </si>
  <si>
    <t xml:space="preserve">    nivelEf     = min(rank(nivel), rank(principal.nivelMaxVolume))</t>
  </si>
  <si>
    <t xml:space="preserve">    freq        = min(Niveis[nivelEf].frequencia, principal.frequenciaMax)</t>
  </si>
  <si>
    <t xml:space="preserve">    sx          = {'Masculino':'M','Feminino':'F'}.get(sexo, 'N')</t>
  </si>
  <si>
    <t xml:space="preserve">    elegiveis   = groupBy(exercicios.filter(e =&gt; rank(e.nivelMin) &lt;= nivelEf), [grupo, tipo])   # preserva a ordem</t>
  </si>
  <si>
    <t xml:space="preserve">    cont        = defaultdict(0);  dias = defaultdict(list)</t>
  </si>
  <si>
    <t xml:space="preserve">    for s in sessoes.filter(s =&gt; s.dias == freq and rank(s.nivelMin) &lt;= nivelEf and s.sexo in ('Todos', sx)):</t>
  </si>
  <si>
    <t xml:space="preserve">        cont[s.grupo, s.tipo] += 1</t>
  </si>
  <si>
    <t xml:space="preserve">        if cont[s.grupo, s.tipo] &gt; len(elegiveis[s.grupo, s.tipo]): continue</t>
  </si>
  <si>
    <t xml:space="preserve">        ex = elegiveis[s.grupo, s.tipo][cont[s.grupo, s.tipo] - 1]</t>
  </si>
  <si>
    <t xml:space="preserve">        dias[s.dia].append({exercicio: ex, series: Niveis[nivelEf].series, reps: principal.reps,</t>
  </si>
  <si>
    <t xml:space="preserve">                            descanso: principal.descanso[ex.tipo]})</t>
  </si>
  <si>
    <t xml:space="preserve">    return {treino: dias, cardioSemanal: max(cardio(o) for o in objetivos + [principal])}</t>
  </si>
  <si>
    <t>MODELO DE DADOS SUGERIDO (tabelas do app)</t>
  </si>
  <si>
    <t>niveis(nome, frequencia, duracao, seriesGrandesMin/Max, seriesPequenosMin/Max, seriesPorExercicio, exerciciosSessaoMin/Max, rir)   — aba Niveis</t>
  </si>
  <si>
    <t>objetivos(nome, prioridade, repsMin/Max, descansoComposto/Isolado, cardioSemanal, frequenciaMax, nivelMaxVolume)   — aba Objetivos</t>
  </si>
  <si>
    <t>exercicios(id, nome, grupo, tipo, nivelMin, equipamento, ordem)   — aba Exercicios  ('ordem' = posição na lista dentro de grupo+tipo)</t>
  </si>
  <si>
    <t>slots(dias, dia, nomeSessao, grupo, tipo, nivelMin, sexo, ordem)   — aba Sessoes</t>
  </si>
  <si>
    <t>Parâmetros por nível físico</t>
  </si>
  <si>
    <t>Texto azul = parâmetro editável. A ordem das linhas (Iniciante &lt; Intermediário &lt; Avançado) é usada como ranking de nível.</t>
  </si>
  <si>
    <t>Nível</t>
  </si>
  <si>
    <t>Duração recomendada (min)</t>
  </si>
  <si>
    <t>Séries/sem grupos grandes (mín)</t>
  </si>
  <si>
    <t>Séries/sem grupos grandes (máx)</t>
  </si>
  <si>
    <t>Séries/sem grupos pequenos (mín)</t>
  </si>
  <si>
    <t>Séries/sem grupos pequenos (máx)</t>
  </si>
  <si>
    <t>Exercícios/sessão (mín)</t>
  </si>
  <si>
    <t>Exercícios/sessão (máx)</t>
  </si>
  <si>
    <t>Progressão de carga</t>
  </si>
  <si>
    <t>Iniciante</t>
  </si>
  <si>
    <t>3–4 (longe da falha)</t>
  </si>
  <si>
    <t>Dupla progressão: ao atingir o topo da faixa de repetições em todas as séries, subir ~2–5% da carga. Foco em técnica.</t>
  </si>
  <si>
    <t>2–3</t>
  </si>
  <si>
    <t>Dupla progressão; última série dos compostos próxima da falha (RIR 1–2). Semana de alívio (deload) a cada 6–8 semanas.</t>
  </si>
  <si>
    <t>Avançado</t>
  </si>
  <si>
    <t>0–2</t>
  </si>
  <si>
    <t>Periodização (ondulatória ou em blocos) e deload programado a cada 4–8 semanas.</t>
  </si>
  <si>
    <t>Grupos grandes: Peito, Costas, Ombros, Quadríceps, Posterior de coxa, Glúteos. Pequenos: Bíceps, Tríceps, Panturrilha, Abdômen. Acessórios (Lombar, Antebraço) não têm meta de volume.</t>
  </si>
  <si>
    <t>Volume semanal: a literatura associa ≥10 séries/semana por grupo a melhor hipertrofia (Schoenfeld et al., 2017); para iniciantes, volumes menores já geram ganhos. As faixas acima são a regra adotada neste projeto.</t>
  </si>
  <si>
    <t>Parâmetros por objetivo</t>
  </si>
  <si>
    <t>Vários objetivos podem ser marcados: o de menor 'Prioridade' vira o PRINCIPAL e define repetições, descanso, limite de frequência e teto de nível. O cardio usa o maior valor entre os marcados.</t>
  </si>
  <si>
    <t>Objetivo</t>
  </si>
  <si>
    <t>Prioridade (1 = maior)</t>
  </si>
  <si>
    <t>Foco</t>
  </si>
  <si>
    <t>Reps (mín)</t>
  </si>
  <si>
    <t>Reps (máx)</t>
  </si>
  <si>
    <t>Descanso compostos (s)</t>
  </si>
  <si>
    <t>Descanso isolados (s)</t>
  </si>
  <si>
    <t>Frequência máx. (dias)</t>
  </si>
  <si>
    <t>Nível máx. de volume</t>
  </si>
  <si>
    <t>Estratégia</t>
  </si>
  <si>
    <t>Perder Peso</t>
  </si>
  <si>
    <t>Gasto energético e preservação de massa magra</t>
  </si>
  <si>
    <t>Aeróbico moderado (caminhada inclinada, bike, elíptico); 1 sessão intervalada opcional</t>
  </si>
  <si>
    <t>Musculação completa, descansos curtos/moderados, priorizar compostos. Manter carga para preservar massa magra.</t>
  </si>
  <si>
    <t>Ganhar Massa Muscular</t>
  </si>
  <si>
    <t>Hipertrofia</t>
  </si>
  <si>
    <t>Cardio leve (LISS), sem competir com a recuperação</t>
  </si>
  <si>
    <t>Volume alto por grupo, compostos pesados primeiro, descansos longos nos compostos, progressão constante de carga.</t>
  </si>
  <si>
    <t>Melhorar Condicionamento</t>
  </si>
  <si>
    <t>Capacidade cardiorrespiratória e muscular</t>
  </si>
  <si>
    <t>Misto: 2 sessões moderadas + 1 intervalada (HIIT)</t>
  </si>
  <si>
    <t>Repetições mais altas, descansos curtos, ritmo contínuo entre exercícios.</t>
  </si>
  <si>
    <t>Aumentar Resistência</t>
  </si>
  <si>
    <t>Resistência muscular</t>
  </si>
  <si>
    <t>Contínuo moderado com aumento progressivo de duração</t>
  </si>
  <si>
    <t>Repetições altas, cargas moderadas/leves, descansos curtos; progredir em repetições antes da carga.</t>
  </si>
  <si>
    <t>Criar uma Rotina</t>
  </si>
  <si>
    <t>Aderência e formação de hábito</t>
  </si>
  <si>
    <t>Caminhada leve (opcional)</t>
  </si>
  <si>
    <t>Poucas sessões, simples e curtas (corpo todo); a meta é não faltar, não a intensidade.</t>
  </si>
  <si>
    <t>Saúde &amp; Bem-estar</t>
  </si>
  <si>
    <t>Saúde geral (OMS: ≥2 dias de força + 150–300 min aeróbico/semana)</t>
  </si>
  <si>
    <t>Aeróbico moderado (caminhada rápida, bike, natação)</t>
  </si>
  <si>
    <t>Corpo todo 2–3×/semana, esforço moderado, equilíbrio entre empurrar/puxar e superior/inferior.</t>
  </si>
  <si>
    <t>Nível máx. de volume: teto aplicado ao nível do usuário (ex.: quem escolhe 'Criar uma Rotina' recebe o plano de Iniciante, mesmo sendo Avançado). Regra do projeto; edite se preferir.</t>
  </si>
  <si>
    <t>Templates de sessão (slots) por frequência semanal</t>
  </si>
  <si>
    <t>Cada linha é um 'slot': um exercício do grupo/tipo indicado. Entra no treino se: Dias = frequência do usuário, Nível mín. ≤ nível efetivo e Sexo = 'Todos' ou igual ao do usuário (M, F ou N = não informar). Colunas H–O são cálculo (não editar).</t>
  </si>
  <si>
    <t>Dias/semana</t>
  </si>
  <si>
    <t>Dia</t>
  </si>
  <si>
    <t>Sessão</t>
  </si>
  <si>
    <t>Nível mín.</t>
  </si>
  <si>
    <t>Passa filtro?</t>
  </si>
  <si>
    <t>Ordem no grupo/tipo</t>
  </si>
  <si>
    <t>Opções disponíveis</t>
  </si>
  <si>
    <t>Incluir?</t>
  </si>
  <si>
    <t>Posição no dia</t>
  </si>
  <si>
    <t>Chave do slot</t>
  </si>
  <si>
    <t>Chave do exercício</t>
  </si>
  <si>
    <t>Exercício escolhido</t>
  </si>
  <si>
    <t>Corpo todo A</t>
  </si>
  <si>
    <t>Composto</t>
  </si>
  <si>
    <t>Todos</t>
  </si>
  <si>
    <t>Isolado</t>
  </si>
  <si>
    <t>M</t>
  </si>
  <si>
    <t>F</t>
  </si>
  <si>
    <t>N</t>
  </si>
  <si>
    <t>Corpo todo B</t>
  </si>
  <si>
    <t>Corpo todo C</t>
  </si>
  <si>
    <t>Superior A</t>
  </si>
  <si>
    <t>Inferior A</t>
  </si>
  <si>
    <t>Superior B</t>
  </si>
  <si>
    <t>Inferior B</t>
  </si>
  <si>
    <t>Empurrar (Push)</t>
  </si>
  <si>
    <t>Puxar (Pull)</t>
  </si>
  <si>
    <t>Pernas</t>
  </si>
  <si>
    <t>Superior</t>
  </si>
  <si>
    <t>Inferior + Core</t>
  </si>
  <si>
    <t>Lista padrão de exercícios (corpo inteiro)</t>
  </si>
  <si>
    <t>A ORDEM das linhas dentro de cada Grupo+Tipo é a ordem de escolha do algoritmo (melhor opção disponível para o nível vem primeiro). Mude a ordem para mudar o treino padrão.</t>
  </si>
  <si>
    <t>Grupo principal</t>
  </si>
  <si>
    <t>Grupos secundários</t>
  </si>
  <si>
    <t>Equipamento</t>
  </si>
  <si>
    <t>Nível mínimo</t>
  </si>
  <si>
    <t>Disponível p/ nível efetivo</t>
  </si>
  <si>
    <t>Chave (aux.)</t>
  </si>
  <si>
    <t>Cobertura</t>
  </si>
  <si>
    <t>Total</t>
  </si>
  <si>
    <t>Disponíveis p/ nível efetivo</t>
  </si>
  <si>
    <t>Supino reto com barra</t>
  </si>
  <si>
    <t>Tríceps, Ombros</t>
  </si>
  <si>
    <t>Barra</t>
  </si>
  <si>
    <t>Supino inclinado com barra</t>
  </si>
  <si>
    <t>Ombros, Tríceps</t>
  </si>
  <si>
    <t>Supino reto com halteres</t>
  </si>
  <si>
    <t>Halteres</t>
  </si>
  <si>
    <t>Supino inclinado com halteres</t>
  </si>
  <si>
    <t>Chest press (máquina)</t>
  </si>
  <si>
    <t>Máquina</t>
  </si>
  <si>
    <t>Flexão de braços</t>
  </si>
  <si>
    <t>Tríceps, Ombros, Abdômen</t>
  </si>
  <si>
    <t>Peso do corpo</t>
  </si>
  <si>
    <t>Mergulho nas paralelas (foco peito)</t>
  </si>
  <si>
    <t>Crossover na polia</t>
  </si>
  <si>
    <t>Polia</t>
  </si>
  <si>
    <t>Crucifixo com halteres</t>
  </si>
  <si>
    <t>Crucifixo na máquina (peck deck)</t>
  </si>
  <si>
    <t>—</t>
  </si>
  <si>
    <t>Remada curvada com barra</t>
  </si>
  <si>
    <t>Bíceps, Lombar</t>
  </si>
  <si>
    <t>Barra fixa (pull-up)</t>
  </si>
  <si>
    <t>Puxada frontal na polia</t>
  </si>
  <si>
    <t>Remada baixa na polia (triângulo)</t>
  </si>
  <si>
    <t>Remada unilateral com haltere (serrote)</t>
  </si>
  <si>
    <t>Remada na máquina</t>
  </si>
  <si>
    <t>Barra fixa assistida</t>
  </si>
  <si>
    <t>Máquina assistida</t>
  </si>
  <si>
    <t>Barra fixa com carga</t>
  </si>
  <si>
    <t>Peso do corpo + anilha</t>
  </si>
  <si>
    <t>Pullover na polia (braços estendidos)</t>
  </si>
  <si>
    <t>Desenvolvimento militar com barra</t>
  </si>
  <si>
    <t>Desenvolvimento com halteres</t>
  </si>
  <si>
    <t>Desenvolvimento na máquina</t>
  </si>
  <si>
    <t>Elevação lateral com halteres</t>
  </si>
  <si>
    <t>Crucifixo inverso na máquina (deltoide posterior)</t>
  </si>
  <si>
    <t>Elevação lateral na polia</t>
  </si>
  <si>
    <t>Face pull</t>
  </si>
  <si>
    <t>Elevação frontal com halteres</t>
  </si>
  <si>
    <t>Rosca direta com barra</t>
  </si>
  <si>
    <t>Rosca alternada com halteres</t>
  </si>
  <si>
    <t>Rosca martelo</t>
  </si>
  <si>
    <t>Rosca Scott</t>
  </si>
  <si>
    <t>Barra W / Máquina</t>
  </si>
  <si>
    <t>Rosca na polia</t>
  </si>
  <si>
    <t>Supino fechado</t>
  </si>
  <si>
    <t>Peito, Ombros</t>
  </si>
  <si>
    <t>Tríceps banco (mergulho no banco)</t>
  </si>
  <si>
    <t>Tríceps pulley (corda ou barra)</t>
  </si>
  <si>
    <t>Tríceps testa</t>
  </si>
  <si>
    <t>Barra W / Halteres</t>
  </si>
  <si>
    <t>Tríceps francês com haltere</t>
  </si>
  <si>
    <t>Agachamento livre com barra</t>
  </si>
  <si>
    <t>Glúteos, Lombar</t>
  </si>
  <si>
    <t>Agachamento frontal</t>
  </si>
  <si>
    <t>Abdômen, Glúteos</t>
  </si>
  <si>
    <t>Hack squat</t>
  </si>
  <si>
    <t>Agachamento búlgaro</t>
  </si>
  <si>
    <t>Leg press 45°</t>
  </si>
  <si>
    <t>Agachamento goblet</t>
  </si>
  <si>
    <t>Glúteos, Abdômen</t>
  </si>
  <si>
    <t>Agachamento no Smith</t>
  </si>
  <si>
    <t>Smith</t>
  </si>
  <si>
    <t>Afundo / passada com halteres</t>
  </si>
  <si>
    <t>Cadeira extensora</t>
  </si>
  <si>
    <t>Stiff com barra</t>
  </si>
  <si>
    <t>Levantamento terra convencional</t>
  </si>
  <si>
    <t>Glúteos, Costas, Lombar</t>
  </si>
  <si>
    <t>Levantamento terra com barra hexagonal</t>
  </si>
  <si>
    <t>Quadríceps, Glúteos, Costas</t>
  </si>
  <si>
    <t>Barra hexagonal</t>
  </si>
  <si>
    <t>Stiff com halteres</t>
  </si>
  <si>
    <t>Mesa flexora</t>
  </si>
  <si>
    <t>Cadeira flexora</t>
  </si>
  <si>
    <t>Elevação pélvica (hip thrust) com barra</t>
  </si>
  <si>
    <t>Ponte de glúteos (peso do corpo)</t>
  </si>
  <si>
    <t>Agachamento sumô com halter</t>
  </si>
  <si>
    <t>Quadríceps, Adutores</t>
  </si>
  <si>
    <t>Glúteo na polia (coice)</t>
  </si>
  <si>
    <t>Cadeira abdutora</t>
  </si>
  <si>
    <t>Extensão de quadril na máquina</t>
  </si>
  <si>
    <t>Panturrilha em pé na máquina</t>
  </si>
  <si>
    <t>Panturrilha sentado</t>
  </si>
  <si>
    <t>Panturrilha no leg press</t>
  </si>
  <si>
    <t>Abdominal na polia (ajoelhado)</t>
  </si>
  <si>
    <t>Elevação de pernas na barra fixa</t>
  </si>
  <si>
    <t>Roda abdominal</t>
  </si>
  <si>
    <t>Roda</t>
  </si>
  <si>
    <t>Abdominal crunch (solo)</t>
  </si>
  <si>
    <t>Prancha</t>
  </si>
  <si>
    <t>Lombar, Ombros</t>
  </si>
  <si>
    <t>Elevação de pernas deitado</t>
  </si>
  <si>
    <t>Extensão lombar (banco 45°)</t>
  </si>
  <si>
    <t>Glúteos, Posterior de coxa</t>
  </si>
  <si>
    <t>Banco</t>
  </si>
  <si>
    <t>Superman (extensão no solo)</t>
  </si>
  <si>
    <t>Rosca de punho</t>
  </si>
  <si>
    <t>Rosca inversa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</si>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</sst>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Consolas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EFEFEF"/>
      </patternFill>
    </fill>
    <fill>
      <patternFill patternType="solid">
        <fgColor rgb="FF2E5E1E"/>
        <bgColor rgb="FF555555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4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opLeftCell="A9" zoomScaleNormal="100" workbookViewId="0">
      <selection activeCell="A6" sqref="A6"/>
    </sheetView>
  </sheetViews>
  <sheetFormatPr defaultColWidth="8.6640625" defaultRowHeight="14.4" x14ac:dyDescent="0.3"/>
  <cols>
    <col min="1" max="1" width="16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ht="26.4" x14ac:dyDescent="0.3">
      <c r="A4" s="3" t="s">
        <v>2</v>
      </c>
    </row>
    <row r="5" spans="1:1" ht="26.4" x14ac:dyDescent="0.3">
      <c r="A5" s="3" t="s">
        <v>3</v>
      </c>
    </row>
    <row r="6" spans="1:1" x14ac:dyDescent="0.3">
      <c r="A6" s="3"/>
    </row>
    <row r="7" spans="1:1" x14ac:dyDescent="0.3">
      <c r="A7" s="2" t="s">
        <v>4</v>
      </c>
    </row>
    <row r="8" spans="1:1" x14ac:dyDescent="0.3">
      <c r="A8" s="3" t="s">
        <v>5</v>
      </c>
    </row>
    <row r="9" spans="1:1" ht="26.4" x14ac:dyDescent="0.3">
      <c r="A9" s="3" t="s">
        <v>6</v>
      </c>
    </row>
    <row r="10" spans="1:1" ht="26.4" x14ac:dyDescent="0.3">
      <c r="A10" s="3" t="s">
        <v>7</v>
      </c>
    </row>
    <row r="11" spans="1:1" x14ac:dyDescent="0.3">
      <c r="A11" s="3"/>
    </row>
    <row r="12" spans="1:1" x14ac:dyDescent="0.3">
      <c r="A12" s="2" t="s">
        <v>8</v>
      </c>
    </row>
    <row r="13" spans="1:1" ht="26.4" x14ac:dyDescent="0.3">
      <c r="A13" s="3" t="s">
        <v>9</v>
      </c>
    </row>
    <row r="14" spans="1:1" ht="26.4" x14ac:dyDescent="0.3">
      <c r="A14" s="3" t="s">
        <v>10</v>
      </c>
    </row>
    <row r="15" spans="1:1" x14ac:dyDescent="0.3">
      <c r="A15" s="3" t="s">
        <v>11</v>
      </c>
    </row>
    <row r="16" spans="1:1" x14ac:dyDescent="0.3">
      <c r="A16" s="3" t="s">
        <v>12</v>
      </c>
    </row>
    <row r="17" spans="1:1" x14ac:dyDescent="0.3">
      <c r="A17" s="3"/>
    </row>
    <row r="18" spans="1:1" x14ac:dyDescent="0.3">
      <c r="A18" s="2" t="s">
        <v>13</v>
      </c>
    </row>
    <row r="19" spans="1:1" x14ac:dyDescent="0.3">
      <c r="A19" s="3" t="s">
        <v>14</v>
      </c>
    </row>
    <row r="20" spans="1:1" x14ac:dyDescent="0.3">
      <c r="A20" s="3" t="s">
        <v>15</v>
      </c>
    </row>
    <row r="21" spans="1:1" x14ac:dyDescent="0.3">
      <c r="A21" s="3"/>
    </row>
    <row r="22" spans="1:1" x14ac:dyDescent="0.3">
      <c r="A22" s="2" t="s">
        <v>16</v>
      </c>
    </row>
    <row r="23" spans="1:1" x14ac:dyDescent="0.3">
      <c r="A23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"/>
  <sheetViews>
    <sheetView tabSelected="1" zoomScaleNormal="100" workbookViewId="0">
      <pane ySplit="3" topLeftCell="A4" activePane="bottomLeft" state="frozen"/>
      <selection pane="bottomLeft" activeCell="B10" sqref="B10"/>
    </sheetView>
  </sheetViews>
  <sheetFormatPr defaultColWidth="8.6640625" defaultRowHeight="14.4" x14ac:dyDescent="0.3"/>
  <cols>
    <col min="1" max="1" width="42" customWidth="1"/>
    <col min="2" max="2" width="46" customWidth="1"/>
    <col min="3" max="3" width="18" customWidth="1"/>
    <col min="4" max="4" width="12" customWidth="1"/>
    <col min="5" max="5" width="9" customWidth="1"/>
    <col min="6" max="6" width="14" customWidth="1"/>
    <col min="7" max="7" width="13" customWidth="1"/>
    <col min="8" max="8" width="3" customWidth="1"/>
    <col min="9" max="9" width="20" customWidth="1"/>
    <col min="10" max="10" width="11" customWidth="1"/>
    <col min="11" max="11" width="14" customWidth="1"/>
    <col min="12" max="12" width="11" customWidth="1"/>
    <col min="13" max="13" width="15" customWidth="1"/>
    <col min="14" max="14" width="10" customWidth="1"/>
  </cols>
  <sheetData>
    <row r="1" spans="1:14" ht="17.399999999999999" x14ac:dyDescent="0.3">
      <c r="A1" s="1" t="s">
        <v>18</v>
      </c>
    </row>
    <row r="2" spans="1:14" x14ac:dyDescent="0.3">
      <c r="A2" s="4" t="s">
        <v>19</v>
      </c>
    </row>
    <row r="3" spans="1:14" x14ac:dyDescent="0.3">
      <c r="I3" s="5" t="s">
        <v>20</v>
      </c>
    </row>
    <row r="4" spans="1:14" ht="26.4" x14ac:dyDescent="0.3">
      <c r="A4" s="6" t="s">
        <v>21</v>
      </c>
      <c r="B4" s="7"/>
      <c r="C4" s="7"/>
      <c r="D4" s="7"/>
      <c r="E4" s="7"/>
      <c r="F4" s="7"/>
      <c r="G4" s="7"/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</row>
    <row r="5" spans="1:14" x14ac:dyDescent="0.3">
      <c r="A5" s="9" t="s">
        <v>28</v>
      </c>
      <c r="B5" s="10" t="s">
        <v>309</v>
      </c>
      <c r="I5" s="9" t="s">
        <v>29</v>
      </c>
      <c r="J5" s="9" t="s">
        <v>30</v>
      </c>
      <c r="K5" s="11">
        <f>COUNTIFS(Sessoes!$D$5:$D$200,I5,Sessoes!$K$5:$K$200,1)</f>
        <v>5</v>
      </c>
      <c r="L5" s="11">
        <f t="shared" ref="L5:L16" si="0">K5*$B$22</f>
        <v>20</v>
      </c>
      <c r="M5" s="12" t="str">
        <f>IF(J5="Grande",INDEX(Niveis!$D$5:$D$7,MATCH($B$19,Niveis!$A$5:$A$7,0))&amp;" a "&amp;INDEX(Niveis!$E$5:$E$7,MATCH($B$19,Niveis!$A$5:$A$7,0)),IF(J5="Pequeno",INDEX(Niveis!$F$5:$F$7,MATCH($B$19,Niveis!$A$5:$A$7,0))&amp;" a "&amp;INDEX(Niveis!$G$5:$G$7,MATCH($B$19,Niveis!$A$5:$A$7,0)),"—"))</f>
        <v>14 a 20</v>
      </c>
      <c r="N5" s="12" t="str">
        <f>IF(J5="Acessório","—",IF(L5&lt;IF(J5="Grande",INDEX(Niveis!$D$5:$D$7,MATCH($B$19,Niveis!$A$5:$A$7,0)),INDEX(Niveis!$F$5:$F$7,MATCH($B$19,Niveis!$A$5:$A$7,0))),"Abaixo",IF(L5&gt;IF(J5="Grande",INDEX(Niveis!$E$5:$E$7,MATCH($B$19,Niveis!$A$5:$A$7,0)),INDEX(Niveis!$G$5:$G$7,MATCH($B$19,Niveis!$A$5:$A$7,0))),"Acima","OK")))</f>
        <v>OK</v>
      </c>
    </row>
    <row r="6" spans="1:14" x14ac:dyDescent="0.3">
      <c r="A6" s="9" t="s">
        <v>31</v>
      </c>
      <c r="B6" s="10" t="s">
        <v>126</v>
      </c>
      <c r="I6" s="9" t="s">
        <v>33</v>
      </c>
      <c r="J6" s="9" t="s">
        <v>30</v>
      </c>
      <c r="K6" s="11">
        <f>COUNTIFS(Sessoes!$D$5:$D$200,I6,Sessoes!$K$5:$K$200,1)</f>
        <v>5</v>
      </c>
      <c r="L6" s="11">
        <f t="shared" si="0"/>
        <v>20</v>
      </c>
      <c r="M6" s="12" t="str">
        <f>IF(J6="Grande",INDEX(Niveis!$D$5:$D$7,MATCH($B$19,Niveis!$A$5:$A$7,0))&amp;" a "&amp;INDEX(Niveis!$E$5:$E$7,MATCH($B$19,Niveis!$A$5:$A$7,0)),IF(J6="Pequeno",INDEX(Niveis!$F$5:$F$7,MATCH($B$19,Niveis!$A$5:$A$7,0))&amp;" a "&amp;INDEX(Niveis!$G$5:$G$7,MATCH($B$19,Niveis!$A$5:$A$7,0)),"—"))</f>
        <v>14 a 20</v>
      </c>
      <c r="N6" s="12" t="str">
        <f>IF(J6="Acessório","—",IF(L6&lt;IF(J6="Grande",INDEX(Niveis!$D$5:$D$7,MATCH($B$19,Niveis!$A$5:$A$7,0)),INDEX(Niveis!$F$5:$F$7,MATCH($B$19,Niveis!$A$5:$A$7,0))),"Abaixo",IF(L6&gt;IF(J6="Grande",INDEX(Niveis!$E$5:$E$7,MATCH($B$19,Niveis!$A$5:$A$7,0)),INDEX(Niveis!$G$5:$G$7,MATCH($B$19,Niveis!$A$5:$A$7,0))),"Acima","OK")))</f>
        <v>OK</v>
      </c>
    </row>
    <row r="7" spans="1:14" x14ac:dyDescent="0.3">
      <c r="I7" s="9" t="s">
        <v>34</v>
      </c>
      <c r="J7" s="9" t="s">
        <v>30</v>
      </c>
      <c r="K7" s="11">
        <f>COUNTIFS(Sessoes!$D$5:$D$200,I7,Sessoes!$K$5:$K$200,1)</f>
        <v>4</v>
      </c>
      <c r="L7" s="11">
        <f t="shared" si="0"/>
        <v>16</v>
      </c>
      <c r="M7" s="12" t="str">
        <f>IF(J7="Grande",INDEX(Niveis!$D$5:$D$7,MATCH($B$19,Niveis!$A$5:$A$7,0))&amp;" a "&amp;INDEX(Niveis!$E$5:$E$7,MATCH($B$19,Niveis!$A$5:$A$7,0)),IF(J7="Pequeno",INDEX(Niveis!$F$5:$F$7,MATCH($B$19,Niveis!$A$5:$A$7,0))&amp;" a "&amp;INDEX(Niveis!$G$5:$G$7,MATCH($B$19,Niveis!$A$5:$A$7,0)),"—"))</f>
        <v>14 a 20</v>
      </c>
      <c r="N7" s="12" t="str">
        <f>IF(J7="Acessório","—",IF(L7&lt;IF(J7="Grande",INDEX(Niveis!$D$5:$D$7,MATCH($B$19,Niveis!$A$5:$A$7,0)),INDEX(Niveis!$F$5:$F$7,MATCH($B$19,Niveis!$A$5:$A$7,0))),"Abaixo",IF(L7&gt;IF(J7="Grande",INDEX(Niveis!$E$5:$E$7,MATCH($B$19,Niveis!$A$5:$A$7,0)),INDEX(Niveis!$G$5:$G$7,MATCH($B$19,Niveis!$A$5:$A$7,0))),"Acima","OK")))</f>
        <v>OK</v>
      </c>
    </row>
    <row r="8" spans="1:14" ht="30" customHeight="1" x14ac:dyDescent="0.3">
      <c r="A8" s="8" t="s">
        <v>35</v>
      </c>
      <c r="B8" s="8" t="s">
        <v>36</v>
      </c>
      <c r="C8" s="8" t="s">
        <v>37</v>
      </c>
      <c r="D8" s="8" t="s">
        <v>38</v>
      </c>
      <c r="I8" s="9" t="s">
        <v>39</v>
      </c>
      <c r="J8" s="9" t="s">
        <v>40</v>
      </c>
      <c r="K8" s="11">
        <f>COUNTIFS(Sessoes!$D$5:$D$200,I8,Sessoes!$K$5:$K$200,1)</f>
        <v>3</v>
      </c>
      <c r="L8" s="11">
        <f t="shared" si="0"/>
        <v>12</v>
      </c>
      <c r="M8" s="12" t="str">
        <f>IF(J8="Grande",INDEX(Niveis!$D$5:$D$7,MATCH($B$19,Niveis!$A$5:$A$7,0))&amp;" a "&amp;INDEX(Niveis!$E$5:$E$7,MATCH($B$19,Niveis!$A$5:$A$7,0)),IF(J8="Pequeno",INDEX(Niveis!$F$5:$F$7,MATCH($B$19,Niveis!$A$5:$A$7,0))&amp;" a "&amp;INDEX(Niveis!$G$5:$G$7,MATCH($B$19,Niveis!$A$5:$A$7,0)),"—"))</f>
        <v>6 a 14</v>
      </c>
      <c r="N8" s="12" t="str">
        <f>IF(J8="Acessório","—",IF(L8&lt;IF(J8="Grande",INDEX(Niveis!$D$5:$D$7,MATCH($B$19,Niveis!$A$5:$A$7,0)),INDEX(Niveis!$F$5:$F$7,MATCH($B$19,Niveis!$A$5:$A$7,0))),"Abaixo",IF(L8&gt;IF(J8="Grande",INDEX(Niveis!$E$5:$E$7,MATCH($B$19,Niveis!$A$5:$A$7,0)),INDEX(Niveis!$G$5:$G$7,MATCH($B$19,Niveis!$A$5:$A$7,0))),"Acima","OK")))</f>
        <v>OK</v>
      </c>
    </row>
    <row r="9" spans="1:14" x14ac:dyDescent="0.3">
      <c r="A9" s="9" t="str">
        <f>Objetivos!$A5</f>
        <v>Perder Peso</v>
      </c>
      <c r="B9" s="10" t="s">
        <v>41</v>
      </c>
      <c r="C9" s="13">
        <f>IF(B9="Sim",Objetivos!$B5,99)</f>
        <v>99</v>
      </c>
      <c r="D9" s="13">
        <f>IF(B9="Sim",Objetivos!$H5,0)</f>
        <v>0</v>
      </c>
      <c r="I9" s="9" t="s">
        <v>42</v>
      </c>
      <c r="J9" s="9" t="s">
        <v>40</v>
      </c>
      <c r="K9" s="11">
        <f>COUNTIFS(Sessoes!$D$5:$D$200,I9,Sessoes!$K$5:$K$200,1)</f>
        <v>3</v>
      </c>
      <c r="L9" s="11">
        <f t="shared" si="0"/>
        <v>12</v>
      </c>
      <c r="M9" s="12" t="str">
        <f>IF(J9="Grande",INDEX(Niveis!$D$5:$D$7,MATCH($B$19,Niveis!$A$5:$A$7,0))&amp;" a "&amp;INDEX(Niveis!$E$5:$E$7,MATCH($B$19,Niveis!$A$5:$A$7,0)),IF(J9="Pequeno",INDEX(Niveis!$F$5:$F$7,MATCH($B$19,Niveis!$A$5:$A$7,0))&amp;" a "&amp;INDEX(Niveis!$G$5:$G$7,MATCH($B$19,Niveis!$A$5:$A$7,0)),"—"))</f>
        <v>6 a 14</v>
      </c>
      <c r="N9" s="12" t="str">
        <f>IF(J9="Acessório","—",IF(L9&lt;IF(J9="Grande",INDEX(Niveis!$D$5:$D$7,MATCH($B$19,Niveis!$A$5:$A$7,0)),INDEX(Niveis!$F$5:$F$7,MATCH($B$19,Niveis!$A$5:$A$7,0))),"Abaixo",IF(L9&gt;IF(J9="Grande",INDEX(Niveis!$E$5:$E$7,MATCH($B$19,Niveis!$A$5:$A$7,0)),INDEX(Niveis!$G$5:$G$7,MATCH($B$19,Niveis!$A$5:$A$7,0))),"Acima","OK")))</f>
        <v>OK</v>
      </c>
    </row>
    <row r="10" spans="1:14" x14ac:dyDescent="0.3">
      <c r="A10" s="9" t="str">
        <f>Objetivos!$A6</f>
        <v>Ganhar Massa Muscular</v>
      </c>
      <c r="B10" s="10" t="s">
        <v>43</v>
      </c>
      <c r="C10" s="13">
        <f>IF(B10="Sim",Objetivos!$B6,99)</f>
        <v>1</v>
      </c>
      <c r="D10" s="13">
        <f>IF(B10="Sim",Objetivos!$H6,0)</f>
        <v>60</v>
      </c>
      <c r="I10" s="9" t="s">
        <v>44</v>
      </c>
      <c r="J10" s="9" t="s">
        <v>30</v>
      </c>
      <c r="K10" s="11">
        <f>COUNTIFS(Sessoes!$D$5:$D$200,I10,Sessoes!$K$5:$K$200,1)</f>
        <v>4</v>
      </c>
      <c r="L10" s="11">
        <f t="shared" si="0"/>
        <v>16</v>
      </c>
      <c r="M10" s="12" t="str">
        <f>IF(J10="Grande",INDEX(Niveis!$D$5:$D$7,MATCH($B$19,Niveis!$A$5:$A$7,0))&amp;" a "&amp;INDEX(Niveis!$E$5:$E$7,MATCH($B$19,Niveis!$A$5:$A$7,0)),IF(J10="Pequeno",INDEX(Niveis!$F$5:$F$7,MATCH($B$19,Niveis!$A$5:$A$7,0))&amp;" a "&amp;INDEX(Niveis!$G$5:$G$7,MATCH($B$19,Niveis!$A$5:$A$7,0)),"—"))</f>
        <v>14 a 20</v>
      </c>
      <c r="N10" s="12" t="str">
        <f>IF(J10="Acessório","—",IF(L10&lt;IF(J10="Grande",INDEX(Niveis!$D$5:$D$7,MATCH($B$19,Niveis!$A$5:$A$7,0)),INDEX(Niveis!$F$5:$F$7,MATCH($B$19,Niveis!$A$5:$A$7,0))),"Abaixo",IF(L10&gt;IF(J10="Grande",INDEX(Niveis!$E$5:$E$7,MATCH($B$19,Niveis!$A$5:$A$7,0)),INDEX(Niveis!$G$5:$G$7,MATCH($B$19,Niveis!$A$5:$A$7,0))),"Acima","OK")))</f>
        <v>OK</v>
      </c>
    </row>
    <row r="11" spans="1:14" x14ac:dyDescent="0.3">
      <c r="A11" s="9" t="str">
        <f>Objetivos!$A7</f>
        <v>Melhorar Condicionamento</v>
      </c>
      <c r="B11" s="10" t="s">
        <v>41</v>
      </c>
      <c r="C11" s="13">
        <f>IF(B11="Sim",Objetivos!$B7,99)</f>
        <v>99</v>
      </c>
      <c r="D11" s="13">
        <f>IF(B11="Sim",Objetivos!$H7,0)</f>
        <v>0</v>
      </c>
      <c r="I11" s="9" t="s">
        <v>45</v>
      </c>
      <c r="J11" s="9" t="s">
        <v>30</v>
      </c>
      <c r="K11" s="11">
        <f>COUNTIFS(Sessoes!$D$5:$D$200,I11,Sessoes!$K$5:$K$200,1)</f>
        <v>4</v>
      </c>
      <c r="L11" s="11">
        <f t="shared" si="0"/>
        <v>16</v>
      </c>
      <c r="M11" s="12" t="str">
        <f>IF(J11="Grande",INDEX(Niveis!$D$5:$D$7,MATCH($B$19,Niveis!$A$5:$A$7,0))&amp;" a "&amp;INDEX(Niveis!$E$5:$E$7,MATCH($B$19,Niveis!$A$5:$A$7,0)),IF(J11="Pequeno",INDEX(Niveis!$F$5:$F$7,MATCH($B$19,Niveis!$A$5:$A$7,0))&amp;" a "&amp;INDEX(Niveis!$G$5:$G$7,MATCH($B$19,Niveis!$A$5:$A$7,0)),"—"))</f>
        <v>14 a 20</v>
      </c>
      <c r="N11" s="12" t="str">
        <f>IF(J11="Acessório","—",IF(L11&lt;IF(J11="Grande",INDEX(Niveis!$D$5:$D$7,MATCH($B$19,Niveis!$A$5:$A$7,0)),INDEX(Niveis!$F$5:$F$7,MATCH($B$19,Niveis!$A$5:$A$7,0))),"Abaixo",IF(L11&gt;IF(J11="Grande",INDEX(Niveis!$E$5:$E$7,MATCH($B$19,Niveis!$A$5:$A$7,0)),INDEX(Niveis!$G$5:$G$7,MATCH($B$19,Niveis!$A$5:$A$7,0))),"Acima","OK")))</f>
        <v>OK</v>
      </c>
    </row>
    <row r="12" spans="1:14" x14ac:dyDescent="0.3">
      <c r="A12" s="9" t="str">
        <f>Objetivos!$A8</f>
        <v>Aumentar Resistência</v>
      </c>
      <c r="B12" s="10" t="s">
        <v>41</v>
      </c>
      <c r="C12" s="13">
        <f>IF(B12="Sim",Objetivos!$B8,99)</f>
        <v>99</v>
      </c>
      <c r="D12" s="13">
        <f>IF(B12="Sim",Objetivos!$H8,0)</f>
        <v>0</v>
      </c>
      <c r="I12" s="9" t="s">
        <v>46</v>
      </c>
      <c r="J12" s="9" t="s">
        <v>30</v>
      </c>
      <c r="K12" s="11">
        <f>COUNTIFS(Sessoes!$D$5:$D$200,I12,Sessoes!$K$5:$K$200,1)</f>
        <v>4</v>
      </c>
      <c r="L12" s="11">
        <f t="shared" si="0"/>
        <v>16</v>
      </c>
      <c r="M12" s="12" t="str">
        <f>IF(J12="Grande",INDEX(Niveis!$D$5:$D$7,MATCH($B$19,Niveis!$A$5:$A$7,0))&amp;" a "&amp;INDEX(Niveis!$E$5:$E$7,MATCH($B$19,Niveis!$A$5:$A$7,0)),IF(J12="Pequeno",INDEX(Niveis!$F$5:$F$7,MATCH($B$19,Niveis!$A$5:$A$7,0))&amp;" a "&amp;INDEX(Niveis!$G$5:$G$7,MATCH($B$19,Niveis!$A$5:$A$7,0)),"—"))</f>
        <v>14 a 20</v>
      </c>
      <c r="N12" s="12" t="str">
        <f>IF(J12="Acessório","—",IF(L12&lt;IF(J12="Grande",INDEX(Niveis!$D$5:$D$7,MATCH($B$19,Niveis!$A$5:$A$7,0)),INDEX(Niveis!$F$5:$F$7,MATCH($B$19,Niveis!$A$5:$A$7,0))),"Abaixo",IF(L12&gt;IF(J12="Grande",INDEX(Niveis!$E$5:$E$7,MATCH($B$19,Niveis!$A$5:$A$7,0)),INDEX(Niveis!$G$5:$G$7,MATCH($B$19,Niveis!$A$5:$A$7,0))),"Acima","OK")))</f>
        <v>OK</v>
      </c>
    </row>
    <row r="13" spans="1:14" x14ac:dyDescent="0.3">
      <c r="A13" s="9" t="str">
        <f>Objetivos!$A9</f>
        <v>Criar uma Rotina</v>
      </c>
      <c r="B13" s="10" t="s">
        <v>41</v>
      </c>
      <c r="C13" s="13">
        <f>IF(B13="Sim",Objetivos!$B9,99)</f>
        <v>99</v>
      </c>
      <c r="D13" s="13">
        <f>IF(B13="Sim",Objetivos!$H9,0)</f>
        <v>0</v>
      </c>
      <c r="I13" s="9" t="s">
        <v>47</v>
      </c>
      <c r="J13" s="9" t="s">
        <v>40</v>
      </c>
      <c r="K13" s="11">
        <f>COUNTIFS(Sessoes!$D$5:$D$200,I13,Sessoes!$K$5:$K$200,1)</f>
        <v>3</v>
      </c>
      <c r="L13" s="11">
        <f t="shared" si="0"/>
        <v>12</v>
      </c>
      <c r="M13" s="12" t="str">
        <f>IF(J13="Grande",INDEX(Niveis!$D$5:$D$7,MATCH($B$19,Niveis!$A$5:$A$7,0))&amp;" a "&amp;INDEX(Niveis!$E$5:$E$7,MATCH($B$19,Niveis!$A$5:$A$7,0)),IF(J13="Pequeno",INDEX(Niveis!$F$5:$F$7,MATCH($B$19,Niveis!$A$5:$A$7,0))&amp;" a "&amp;INDEX(Niveis!$G$5:$G$7,MATCH($B$19,Niveis!$A$5:$A$7,0)),"—"))</f>
        <v>6 a 14</v>
      </c>
      <c r="N13" s="12" t="str">
        <f>IF(J13="Acessório","—",IF(L13&lt;IF(J13="Grande",INDEX(Niveis!$D$5:$D$7,MATCH($B$19,Niveis!$A$5:$A$7,0)),INDEX(Niveis!$F$5:$F$7,MATCH($B$19,Niveis!$A$5:$A$7,0))),"Abaixo",IF(L13&gt;IF(J13="Grande",INDEX(Niveis!$E$5:$E$7,MATCH($B$19,Niveis!$A$5:$A$7,0)),INDEX(Niveis!$G$5:$G$7,MATCH($B$19,Niveis!$A$5:$A$7,0))),"Acima","OK")))</f>
        <v>OK</v>
      </c>
    </row>
    <row r="14" spans="1:14" x14ac:dyDescent="0.3">
      <c r="A14" s="9" t="str">
        <f>Objetivos!$A10</f>
        <v>Saúde &amp; Bem-estar</v>
      </c>
      <c r="B14" s="10" t="s">
        <v>41</v>
      </c>
      <c r="C14" s="13">
        <f>IF(B14="Sim",Objetivos!$B10,99)</f>
        <v>99</v>
      </c>
      <c r="D14" s="13">
        <f>IF(B14="Sim",Objetivos!$H10,0)</f>
        <v>0</v>
      </c>
      <c r="I14" s="9" t="s">
        <v>48</v>
      </c>
      <c r="J14" s="9" t="s">
        <v>40</v>
      </c>
      <c r="K14" s="11">
        <f>COUNTIFS(Sessoes!$D$5:$D$200,I14,Sessoes!$K$5:$K$200,1)</f>
        <v>2</v>
      </c>
      <c r="L14" s="11">
        <f t="shared" si="0"/>
        <v>8</v>
      </c>
      <c r="M14" s="12" t="str">
        <f>IF(J14="Grande",INDEX(Niveis!$D$5:$D$7,MATCH($B$19,Niveis!$A$5:$A$7,0))&amp;" a "&amp;INDEX(Niveis!$E$5:$E$7,MATCH($B$19,Niveis!$A$5:$A$7,0)),IF(J14="Pequeno",INDEX(Niveis!$F$5:$F$7,MATCH($B$19,Niveis!$A$5:$A$7,0))&amp;" a "&amp;INDEX(Niveis!$G$5:$G$7,MATCH($B$19,Niveis!$A$5:$A$7,0)),"—"))</f>
        <v>6 a 14</v>
      </c>
      <c r="N14" s="12" t="str">
        <f>IF(J14="Acessório","—",IF(L14&lt;IF(J14="Grande",INDEX(Niveis!$D$5:$D$7,MATCH($B$19,Niveis!$A$5:$A$7,0)),INDEX(Niveis!$F$5:$F$7,MATCH($B$19,Niveis!$A$5:$A$7,0))),"Abaixo",IF(L14&gt;IF(J14="Grande",INDEX(Niveis!$E$5:$E$7,MATCH($B$19,Niveis!$A$5:$A$7,0)),INDEX(Niveis!$G$5:$G$7,MATCH($B$19,Niveis!$A$5:$A$7,0))),"Acima","OK")))</f>
        <v>OK</v>
      </c>
    </row>
    <row r="15" spans="1:14" x14ac:dyDescent="0.3">
      <c r="I15" s="9" t="s">
        <v>49</v>
      </c>
      <c r="J15" s="9" t="s">
        <v>50</v>
      </c>
      <c r="K15" s="11">
        <f>COUNTIFS(Sessoes!$D$5:$D$200,I15,Sessoes!$K$5:$K$200,1)</f>
        <v>1</v>
      </c>
      <c r="L15" s="11">
        <f t="shared" si="0"/>
        <v>4</v>
      </c>
      <c r="M15" s="12" t="str">
        <f>IF(J15="Grande",INDEX(Niveis!$D$5:$D$7,MATCH($B$19,Niveis!$A$5:$A$7,0))&amp;" a "&amp;INDEX(Niveis!$E$5:$E$7,MATCH($B$19,Niveis!$A$5:$A$7,0)),IF(J15="Pequeno",INDEX(Niveis!$F$5:$F$7,MATCH($B$19,Niveis!$A$5:$A$7,0))&amp;" a "&amp;INDEX(Niveis!$G$5:$G$7,MATCH($B$19,Niveis!$A$5:$A$7,0)),"—"))</f>
        <v>—</v>
      </c>
      <c r="N15" s="12" t="str">
        <f>IF(J15="Acessório","—",IF(L15&lt;IF(J15="Grande",INDEX(Niveis!$D$5:$D$7,MATCH($B$19,Niveis!$A$5:$A$7,0)),INDEX(Niveis!$F$5:$F$7,MATCH($B$19,Niveis!$A$5:$A$7,0))),"Abaixo",IF(L15&gt;IF(J15="Grande",INDEX(Niveis!$E$5:$E$7,MATCH($B$19,Niveis!$A$5:$A$7,0)),INDEX(Niveis!$G$5:$G$7,MATCH($B$19,Niveis!$A$5:$A$7,0))),"Acima","OK")))</f>
        <v>—</v>
      </c>
    </row>
    <row r="16" spans="1:14" x14ac:dyDescent="0.3">
      <c r="A16" s="6" t="s">
        <v>51</v>
      </c>
      <c r="B16" s="7"/>
      <c r="C16" s="7"/>
      <c r="D16" s="7"/>
      <c r="E16" s="7"/>
      <c r="F16" s="7"/>
      <c r="G16" s="7"/>
      <c r="I16" s="9" t="s">
        <v>52</v>
      </c>
      <c r="J16" s="9" t="s">
        <v>50</v>
      </c>
      <c r="K16" s="11">
        <f>COUNTIFS(Sessoes!$D$5:$D$200,I16,Sessoes!$K$5:$K$200,1)</f>
        <v>1</v>
      </c>
      <c r="L16" s="11">
        <f t="shared" si="0"/>
        <v>4</v>
      </c>
      <c r="M16" s="12" t="str">
        <f>IF(J16="Grande",INDEX(Niveis!$D$5:$D$7,MATCH($B$19,Niveis!$A$5:$A$7,0))&amp;" a "&amp;INDEX(Niveis!$E$5:$E$7,MATCH($B$19,Niveis!$A$5:$A$7,0)),IF(J16="Pequeno",INDEX(Niveis!$F$5:$F$7,MATCH($B$19,Niveis!$A$5:$A$7,0))&amp;" a "&amp;INDEX(Niveis!$G$5:$G$7,MATCH($B$19,Niveis!$A$5:$A$7,0)),"—"))</f>
        <v>—</v>
      </c>
      <c r="N16" s="12" t="str">
        <f>IF(J16="Acessório","—",IF(L16&lt;IF(J16="Grande",INDEX(Niveis!$D$5:$D$7,MATCH($B$19,Niveis!$A$5:$A$7,0)),INDEX(Niveis!$F$5:$F$7,MATCH($B$19,Niveis!$A$5:$A$7,0))),"Abaixo",IF(L16&gt;IF(J16="Grande",INDEX(Niveis!$E$5:$E$7,MATCH($B$19,Niveis!$A$5:$A$7,0)),INDEX(Niveis!$G$5:$G$7,MATCH($B$19,Niveis!$A$5:$A$7,0))),"Acima","OK")))</f>
        <v>—</v>
      </c>
    </row>
    <row r="17" spans="1:7" x14ac:dyDescent="0.3">
      <c r="A17" s="9" t="s">
        <v>53</v>
      </c>
      <c r="B17" s="11">
        <f>IF(COUNTIF(B9:B14,"Sim")=0,6,MIN(C9:C14))</f>
        <v>1</v>
      </c>
    </row>
    <row r="18" spans="1:7" x14ac:dyDescent="0.3">
      <c r="A18" s="9" t="s">
        <v>54</v>
      </c>
      <c r="B18" s="12" t="str">
        <f>INDEX(Objetivos!$A$5:$A$10,MATCH(B17,Objetivos!$B$5:$B$10,0))</f>
        <v>Ganhar Massa Muscular</v>
      </c>
    </row>
    <row r="19" spans="1:7" x14ac:dyDescent="0.3">
      <c r="A19" s="9" t="s">
        <v>55</v>
      </c>
      <c r="B19" s="12" t="str">
        <f>INDEX(Niveis!$A$5:$A$7,MIN(MATCH($B$6,Niveis!$A$5:$A$7,0),MATCH(INDEX(Objetivos!$K$5:$K$10,MATCH($B$18,Objetivos!$A$5:$A$10,0)),Niveis!$A$5:$A$7,0)))</f>
        <v>Avançado</v>
      </c>
    </row>
    <row r="20" spans="1:7" x14ac:dyDescent="0.3">
      <c r="A20" s="9" t="s">
        <v>56</v>
      </c>
      <c r="B20" s="11">
        <f>MIN(INDEX(Niveis!$B$5:$B$7,MATCH($B$19,Niveis!$A$5:$A$7,0)),INDEX(Objetivos!$J$5:$J$10,MATCH($B$18,Objetivos!$A$5:$A$10,0)))</f>
        <v>5</v>
      </c>
    </row>
    <row r="21" spans="1:7" x14ac:dyDescent="0.3">
      <c r="A21" s="9" t="s">
        <v>57</v>
      </c>
      <c r="B21" s="12" t="str">
        <f>IF(B5="Masculino","M",IF(B5="Feminino","F","N"))</f>
        <v>M</v>
      </c>
    </row>
    <row r="22" spans="1:7" x14ac:dyDescent="0.3">
      <c r="A22" s="9" t="s">
        <v>58</v>
      </c>
      <c r="B22" s="11">
        <f>INDEX(Niveis!$H$5:$H$7,MATCH($B$19,Niveis!$A$5:$A$7,0))</f>
        <v>4</v>
      </c>
    </row>
    <row r="23" spans="1:7" x14ac:dyDescent="0.3">
      <c r="A23" s="9" t="s">
        <v>59</v>
      </c>
      <c r="B23" s="12" t="str">
        <f>INDEX(Objetivos!$D$5:$D$10,MATCH($B$18,Objetivos!$A$5:$A$10,0))&amp;" a "&amp;INDEX(Objetivos!$E$5:$E$10,MATCH($B$18,Objetivos!$A$5:$A$10,0))</f>
        <v>6 a 12</v>
      </c>
    </row>
    <row r="24" spans="1:7" x14ac:dyDescent="0.3">
      <c r="A24" s="9" t="s">
        <v>60</v>
      </c>
      <c r="B24" s="11">
        <f>INDEX(Objetivos!$F$5:$F$10,MATCH($B$18,Objetivos!$A$5:$A$10,0))</f>
        <v>120</v>
      </c>
    </row>
    <row r="25" spans="1:7" x14ac:dyDescent="0.3">
      <c r="A25" s="9" t="s">
        <v>61</v>
      </c>
      <c r="B25" s="11">
        <f>INDEX(Objetivos!$G$5:$G$10,MATCH($B$18,Objetivos!$A$5:$A$10,0))</f>
        <v>60</v>
      </c>
    </row>
    <row r="26" spans="1:7" x14ac:dyDescent="0.3">
      <c r="A26" s="9" t="s">
        <v>62</v>
      </c>
      <c r="B26" s="12" t="str">
        <f>INDEX(Niveis!$K$5:$K$7,MATCH($B$19,Niveis!$A$5:$A$7,0))</f>
        <v>0–2</v>
      </c>
    </row>
    <row r="27" spans="1:7" x14ac:dyDescent="0.3">
      <c r="A27" s="9" t="s">
        <v>63</v>
      </c>
      <c r="B27" s="11">
        <f>INDEX(Niveis!$C$5:$C$7,MATCH($B$19,Niveis!$A$5:$A$7,0))</f>
        <v>80</v>
      </c>
    </row>
    <row r="28" spans="1:7" x14ac:dyDescent="0.3">
      <c r="A28" s="9" t="s">
        <v>64</v>
      </c>
      <c r="B28" s="11">
        <f>MAX(D9:D14,INDEX(Objetivos!$H$5:$H$10,MATCH($B$18,Objetivos!$A$5:$A$10,0)))</f>
        <v>60</v>
      </c>
    </row>
    <row r="29" spans="1:7" x14ac:dyDescent="0.3">
      <c r="A29" s="9" t="s">
        <v>65</v>
      </c>
      <c r="B29" s="14" t="str">
        <f>INDEX(Objetivos!$I$5:$I$10,MATCH($B$18,Objetivos!$A$5:$A$10,0))</f>
        <v>Cardio leve (LISS), sem competir com a recuperação</v>
      </c>
    </row>
    <row r="30" spans="1:7" x14ac:dyDescent="0.3">
      <c r="A30" s="9" t="s">
        <v>66</v>
      </c>
      <c r="B30" s="14" t="str">
        <f>IF(COUNTIF(Sessoes!$K$5:$K$200,1)=0,"ATENÇÃO: não há template para esta combinação de frequência e nível (ver aba Sessoes).",IF(B19&lt;&gt;B6,"Nível reduzido de "&amp;B6&amp;" para "&amp;B19&amp;" pelo objetivo principal ("&amp;B18&amp;").","OK"))</f>
        <v>OK</v>
      </c>
    </row>
    <row r="32" spans="1:7" x14ac:dyDescent="0.3">
      <c r="A32" s="6" t="s">
        <v>67</v>
      </c>
      <c r="B32" s="7"/>
      <c r="C32" s="7"/>
      <c r="D32" s="7"/>
      <c r="E32" s="7"/>
      <c r="F32" s="7"/>
      <c r="G32" s="7"/>
    </row>
    <row r="33" spans="1:7" x14ac:dyDescent="0.3">
      <c r="A33" s="6" t="str">
        <f>IF($B$20&lt;1,"","Dia 1 — "&amp;IFERROR(INDEX(Sessoes!$C$5:$C$200,MATCH($B$20&amp;"-1-1",Sessoes!$M$5:$M$200,0)),""))</f>
        <v>Dia 1 — Empurrar (Push)</v>
      </c>
      <c r="B33" s="7"/>
      <c r="C33" s="7"/>
      <c r="D33" s="7"/>
      <c r="E33" s="7"/>
      <c r="F33" s="6" t="str">
        <f>IF($B$20&lt;1,"",COUNTIF(B35:B46,"?*")&amp;" exercícios")</f>
        <v>7 exercícios</v>
      </c>
      <c r="G33" s="7"/>
    </row>
    <row r="34" spans="1:7" x14ac:dyDescent="0.3">
      <c r="A34" s="8" t="s">
        <v>68</v>
      </c>
      <c r="B34" s="8" t="s">
        <v>69</v>
      </c>
      <c r="C34" s="8" t="s">
        <v>70</v>
      </c>
      <c r="D34" s="8" t="s">
        <v>71</v>
      </c>
      <c r="E34" s="8" t="s">
        <v>72</v>
      </c>
      <c r="F34" s="8" t="s">
        <v>73</v>
      </c>
      <c r="G34" s="8" t="s">
        <v>74</v>
      </c>
    </row>
    <row r="35" spans="1:7" x14ac:dyDescent="0.3">
      <c r="A35" s="15">
        <f>IF(B35="","",1)</f>
        <v>1</v>
      </c>
      <c r="B35" s="9" t="str">
        <f>IF($B$20&lt;1,"",IFERROR(INDEX(Sessoes!$O$5:$O$200,MATCH($B$20&amp;"-1-1",Sessoes!$M$5:$M$200,0)),""))</f>
        <v>Supino reto com barra</v>
      </c>
      <c r="C35" s="9" t="str">
        <f>IF(B35="","",INDEX(Sessoes!$D$5:$D$200,MATCH($B$20&amp;"-1-1",Sessoes!$M$5:$M$200,0)))</f>
        <v>Peito</v>
      </c>
      <c r="D35" s="9" t="str">
        <f>IF(B35="","",INDEX(Sessoes!$E$5:$E$200,MATCH($B$20&amp;"-1-1",Sessoes!$M$5:$M$200,0)))</f>
        <v>Composto</v>
      </c>
      <c r="E35" s="11">
        <f t="shared" ref="E35:E46" si="1">IF(B35="","",$B$22)</f>
        <v>4</v>
      </c>
      <c r="F35" s="12" t="str">
        <f t="shared" ref="F35:F46" si="2">IF(B35="","",$B$23)</f>
        <v>6 a 12</v>
      </c>
      <c r="G35" s="11">
        <f t="shared" ref="G35:G46" si="3">IF(B35="","",IF(D35="Composto",$B$24,$B$25))</f>
        <v>120</v>
      </c>
    </row>
    <row r="36" spans="1:7" x14ac:dyDescent="0.3">
      <c r="A36" s="15">
        <f>IF(B36="","",2)</f>
        <v>2</v>
      </c>
      <c r="B36" s="9" t="str">
        <f>IF($B$20&lt;1,"",IFERROR(INDEX(Sessoes!$O$5:$O$200,MATCH($B$20&amp;"-1-2",Sessoes!$M$5:$M$200,0)),""))</f>
        <v>Supino inclinado com barra</v>
      </c>
      <c r="C36" s="9" t="str">
        <f>IF(B36="","",INDEX(Sessoes!$D$5:$D$200,MATCH($B$20&amp;"-1-2",Sessoes!$M$5:$M$200,0)))</f>
        <v>Peito</v>
      </c>
      <c r="D36" s="9" t="str">
        <f>IF(B36="","",INDEX(Sessoes!$E$5:$E$200,MATCH($B$20&amp;"-1-2",Sessoes!$M$5:$M$200,0)))</f>
        <v>Composto</v>
      </c>
      <c r="E36" s="11">
        <f t="shared" si="1"/>
        <v>4</v>
      </c>
      <c r="F36" s="12" t="str">
        <f t="shared" si="2"/>
        <v>6 a 12</v>
      </c>
      <c r="G36" s="11">
        <f t="shared" si="3"/>
        <v>120</v>
      </c>
    </row>
    <row r="37" spans="1:7" x14ac:dyDescent="0.3">
      <c r="A37" s="15">
        <f>IF(B37="","",3)</f>
        <v>3</v>
      </c>
      <c r="B37" s="9" t="str">
        <f>IF($B$20&lt;1,"",IFERROR(INDEX(Sessoes!$O$5:$O$200,MATCH($B$20&amp;"-1-3",Sessoes!$M$5:$M$200,0)),""))</f>
        <v>Desenvolvimento militar com barra</v>
      </c>
      <c r="C37" s="9" t="str">
        <f>IF(B37="","",INDEX(Sessoes!$D$5:$D$200,MATCH($B$20&amp;"-1-3",Sessoes!$M$5:$M$200,0)))</f>
        <v>Ombros</v>
      </c>
      <c r="D37" s="9" t="str">
        <f>IF(B37="","",INDEX(Sessoes!$E$5:$E$200,MATCH($B$20&amp;"-1-3",Sessoes!$M$5:$M$200,0)))</f>
        <v>Composto</v>
      </c>
      <c r="E37" s="11">
        <f t="shared" si="1"/>
        <v>4</v>
      </c>
      <c r="F37" s="12" t="str">
        <f t="shared" si="2"/>
        <v>6 a 12</v>
      </c>
      <c r="G37" s="11">
        <f t="shared" si="3"/>
        <v>120</v>
      </c>
    </row>
    <row r="38" spans="1:7" x14ac:dyDescent="0.3">
      <c r="A38" s="15">
        <f>IF(B38="","",4)</f>
        <v>4</v>
      </c>
      <c r="B38" s="9" t="str">
        <f>IF($B$20&lt;1,"",IFERROR(INDEX(Sessoes!$O$5:$O$200,MATCH($B$20&amp;"-1-4",Sessoes!$M$5:$M$200,0)),""))</f>
        <v>Crossover na polia</v>
      </c>
      <c r="C38" s="9" t="str">
        <f>IF(B38="","",INDEX(Sessoes!$D$5:$D$200,MATCH($B$20&amp;"-1-4",Sessoes!$M$5:$M$200,0)))</f>
        <v>Peito</v>
      </c>
      <c r="D38" s="9" t="str">
        <f>IF(B38="","",INDEX(Sessoes!$E$5:$E$200,MATCH($B$20&amp;"-1-4",Sessoes!$M$5:$M$200,0)))</f>
        <v>Isolado</v>
      </c>
      <c r="E38" s="11">
        <f t="shared" si="1"/>
        <v>4</v>
      </c>
      <c r="F38" s="12" t="str">
        <f t="shared" si="2"/>
        <v>6 a 12</v>
      </c>
      <c r="G38" s="11">
        <f t="shared" si="3"/>
        <v>60</v>
      </c>
    </row>
    <row r="39" spans="1:7" x14ac:dyDescent="0.3">
      <c r="A39" s="15">
        <f>IF(B39="","",5)</f>
        <v>5</v>
      </c>
      <c r="B39" s="9" t="str">
        <f>IF($B$20&lt;1,"",IFERROR(INDEX(Sessoes!$O$5:$O$200,MATCH($B$20&amp;"-1-5",Sessoes!$M$5:$M$200,0)),""))</f>
        <v>Elevação lateral com halteres</v>
      </c>
      <c r="C39" s="9" t="str">
        <f>IF(B39="","",INDEX(Sessoes!$D$5:$D$200,MATCH($B$20&amp;"-1-5",Sessoes!$M$5:$M$200,0)))</f>
        <v>Ombros</v>
      </c>
      <c r="D39" s="9" t="str">
        <f>IF(B39="","",INDEX(Sessoes!$E$5:$E$200,MATCH($B$20&amp;"-1-5",Sessoes!$M$5:$M$200,0)))</f>
        <v>Isolado</v>
      </c>
      <c r="E39" s="11">
        <f t="shared" si="1"/>
        <v>4</v>
      </c>
      <c r="F39" s="12" t="str">
        <f t="shared" si="2"/>
        <v>6 a 12</v>
      </c>
      <c r="G39" s="11">
        <f t="shared" si="3"/>
        <v>60</v>
      </c>
    </row>
    <row r="40" spans="1:7" x14ac:dyDescent="0.3">
      <c r="A40" s="15">
        <f>IF(B40="","",6)</f>
        <v>6</v>
      </c>
      <c r="B40" s="9" t="str">
        <f>IF($B$20&lt;1,"",IFERROR(INDEX(Sessoes!$O$5:$O$200,MATCH($B$20&amp;"-1-6",Sessoes!$M$5:$M$200,0)),""))</f>
        <v>Supino fechado</v>
      </c>
      <c r="C40" s="9" t="str">
        <f>IF(B40="","",INDEX(Sessoes!$D$5:$D$200,MATCH($B$20&amp;"-1-6",Sessoes!$M$5:$M$200,0)))</f>
        <v>Tríceps</v>
      </c>
      <c r="D40" s="9" t="str">
        <f>IF(B40="","",INDEX(Sessoes!$E$5:$E$200,MATCH($B$20&amp;"-1-6",Sessoes!$M$5:$M$200,0)))</f>
        <v>Composto</v>
      </c>
      <c r="E40" s="11">
        <f t="shared" si="1"/>
        <v>4</v>
      </c>
      <c r="F40" s="12" t="str">
        <f t="shared" si="2"/>
        <v>6 a 12</v>
      </c>
      <c r="G40" s="11">
        <f t="shared" si="3"/>
        <v>120</v>
      </c>
    </row>
    <row r="41" spans="1:7" x14ac:dyDescent="0.3">
      <c r="A41" s="15">
        <f>IF(B41="","",7)</f>
        <v>7</v>
      </c>
      <c r="B41" s="9" t="str">
        <f>IF($B$20&lt;1,"",IFERROR(INDEX(Sessoes!$O$5:$O$200,MATCH($B$20&amp;"-1-7",Sessoes!$M$5:$M$200,0)),""))</f>
        <v>Tríceps pulley (corda ou barra)</v>
      </c>
      <c r="C41" s="9" t="str">
        <f>IF(B41="","",INDEX(Sessoes!$D$5:$D$200,MATCH($B$20&amp;"-1-7",Sessoes!$M$5:$M$200,0)))</f>
        <v>Tríceps</v>
      </c>
      <c r="D41" s="9" t="str">
        <f>IF(B41="","",INDEX(Sessoes!$E$5:$E$200,MATCH($B$20&amp;"-1-7",Sessoes!$M$5:$M$200,0)))</f>
        <v>Isolado</v>
      </c>
      <c r="E41" s="11">
        <f t="shared" si="1"/>
        <v>4</v>
      </c>
      <c r="F41" s="12" t="str">
        <f t="shared" si="2"/>
        <v>6 a 12</v>
      </c>
      <c r="G41" s="11">
        <f t="shared" si="3"/>
        <v>60</v>
      </c>
    </row>
    <row r="42" spans="1:7" x14ac:dyDescent="0.3">
      <c r="A42" s="15" t="str">
        <f>IF(B42="","",8)</f>
        <v/>
      </c>
      <c r="B42" s="9" t="str">
        <f>IF($B$20&lt;1,"",IFERROR(INDEX(Sessoes!$O$5:$O$200,MATCH($B$20&amp;"-1-8",Sessoes!$M$5:$M$200,0)),""))</f>
        <v/>
      </c>
      <c r="C42" s="9" t="str">
        <f>IF(B42="","",INDEX(Sessoes!$D$5:$D$200,MATCH($B$20&amp;"-1-8",Sessoes!$M$5:$M$200,0)))</f>
        <v/>
      </c>
      <c r="D42" s="9" t="str">
        <f>IF(B42="","",INDEX(Sessoes!$E$5:$E$200,MATCH($B$20&amp;"-1-8",Sessoes!$M$5:$M$200,0)))</f>
        <v/>
      </c>
      <c r="E42" s="12" t="str">
        <f t="shared" si="1"/>
        <v/>
      </c>
      <c r="F42" s="12" t="str">
        <f t="shared" si="2"/>
        <v/>
      </c>
      <c r="G42" s="12" t="str">
        <f t="shared" si="3"/>
        <v/>
      </c>
    </row>
    <row r="43" spans="1:7" x14ac:dyDescent="0.3">
      <c r="A43" s="15" t="str">
        <f>IF(B43="","",9)</f>
        <v/>
      </c>
      <c r="B43" s="9" t="str">
        <f>IF($B$20&lt;1,"",IFERROR(INDEX(Sessoes!$O$5:$O$200,MATCH($B$20&amp;"-1-9",Sessoes!$M$5:$M$200,0)),""))</f>
        <v/>
      </c>
      <c r="C43" s="9" t="str">
        <f>IF(B43="","",INDEX(Sessoes!$D$5:$D$200,MATCH($B$20&amp;"-1-9",Sessoes!$M$5:$M$200,0)))</f>
        <v/>
      </c>
      <c r="D43" s="9" t="str">
        <f>IF(B43="","",INDEX(Sessoes!$E$5:$E$200,MATCH($B$20&amp;"-1-9",Sessoes!$M$5:$M$200,0)))</f>
        <v/>
      </c>
      <c r="E43" s="12" t="str">
        <f t="shared" si="1"/>
        <v/>
      </c>
      <c r="F43" s="12" t="str">
        <f t="shared" si="2"/>
        <v/>
      </c>
      <c r="G43" s="12" t="str">
        <f t="shared" si="3"/>
        <v/>
      </c>
    </row>
    <row r="44" spans="1:7" x14ac:dyDescent="0.3">
      <c r="A44" s="15" t="str">
        <f>IF(B44="","",10)</f>
        <v/>
      </c>
      <c r="B44" s="9" t="str">
        <f>IF($B$20&lt;1,"",IFERROR(INDEX(Sessoes!$O$5:$O$200,MATCH($B$20&amp;"-1-10",Sessoes!$M$5:$M$200,0)),""))</f>
        <v/>
      </c>
      <c r="C44" s="9" t="str">
        <f>IF(B44="","",INDEX(Sessoes!$D$5:$D$200,MATCH($B$20&amp;"-1-10",Sessoes!$M$5:$M$200,0)))</f>
        <v/>
      </c>
      <c r="D44" s="9" t="str">
        <f>IF(B44="","",INDEX(Sessoes!$E$5:$E$200,MATCH($B$20&amp;"-1-10",Sessoes!$M$5:$M$200,0)))</f>
        <v/>
      </c>
      <c r="E44" s="12" t="str">
        <f t="shared" si="1"/>
        <v/>
      </c>
      <c r="F44" s="12" t="str">
        <f t="shared" si="2"/>
        <v/>
      </c>
      <c r="G44" s="12" t="str">
        <f t="shared" si="3"/>
        <v/>
      </c>
    </row>
    <row r="45" spans="1:7" x14ac:dyDescent="0.3">
      <c r="A45" s="15" t="str">
        <f>IF(B45="","",11)</f>
        <v/>
      </c>
      <c r="B45" s="9" t="str">
        <f>IF($B$20&lt;1,"",IFERROR(INDEX(Sessoes!$O$5:$O$200,MATCH($B$20&amp;"-1-11",Sessoes!$M$5:$M$200,0)),""))</f>
        <v/>
      </c>
      <c r="C45" s="9" t="str">
        <f>IF(B45="","",INDEX(Sessoes!$D$5:$D$200,MATCH($B$20&amp;"-1-11",Sessoes!$M$5:$M$200,0)))</f>
        <v/>
      </c>
      <c r="D45" s="9" t="str">
        <f>IF(B45="","",INDEX(Sessoes!$E$5:$E$200,MATCH($B$20&amp;"-1-11",Sessoes!$M$5:$M$200,0)))</f>
        <v/>
      </c>
      <c r="E45" s="12" t="str">
        <f t="shared" si="1"/>
        <v/>
      </c>
      <c r="F45" s="12" t="str">
        <f t="shared" si="2"/>
        <v/>
      </c>
      <c r="G45" s="12" t="str">
        <f t="shared" si="3"/>
        <v/>
      </c>
    </row>
    <row r="46" spans="1:7" x14ac:dyDescent="0.3">
      <c r="A46" s="15" t="str">
        <f>IF(B46="","",12)</f>
        <v/>
      </c>
      <c r="B46" s="9" t="str">
        <f>IF($B$20&lt;1,"",IFERROR(INDEX(Sessoes!$O$5:$O$200,MATCH($B$20&amp;"-1-12",Sessoes!$M$5:$M$200,0)),""))</f>
        <v/>
      </c>
      <c r="C46" s="9" t="str">
        <f>IF(B46="","",INDEX(Sessoes!$D$5:$D$200,MATCH($B$20&amp;"-1-12",Sessoes!$M$5:$M$200,0)))</f>
        <v/>
      </c>
      <c r="D46" s="9" t="str">
        <f>IF(B46="","",INDEX(Sessoes!$E$5:$E$200,MATCH($B$20&amp;"-1-12",Sessoes!$M$5:$M$200,0)))</f>
        <v/>
      </c>
      <c r="E46" s="12" t="str">
        <f t="shared" si="1"/>
        <v/>
      </c>
      <c r="F46" s="12" t="str">
        <f t="shared" si="2"/>
        <v/>
      </c>
      <c r="G46" s="12" t="str">
        <f t="shared" si="3"/>
        <v/>
      </c>
    </row>
    <row r="48" spans="1:7" x14ac:dyDescent="0.3">
      <c r="A48" s="6" t="str">
        <f>IF($B$20&lt;2,"","Dia 2 — "&amp;IFERROR(INDEX(Sessoes!$C$5:$C$200,MATCH($B$20&amp;"-2-1",Sessoes!$M$5:$M$200,0)),""))</f>
        <v>Dia 2 — Puxar (Pull)</v>
      </c>
      <c r="B48" s="7"/>
      <c r="C48" s="7"/>
      <c r="D48" s="7"/>
      <c r="E48" s="7"/>
      <c r="F48" s="6" t="str">
        <f>IF($B$20&lt;2,"",COUNTIF(B50:B61,"?*")&amp;" exercícios")</f>
        <v>8 exercícios</v>
      </c>
      <c r="G48" s="7"/>
    </row>
    <row r="49" spans="1:7" x14ac:dyDescent="0.3">
      <c r="A49" s="8" t="s">
        <v>68</v>
      </c>
      <c r="B49" s="8" t="s">
        <v>69</v>
      </c>
      <c r="C49" s="8" t="s">
        <v>70</v>
      </c>
      <c r="D49" s="8" t="s">
        <v>71</v>
      </c>
      <c r="E49" s="8" t="s">
        <v>72</v>
      </c>
      <c r="F49" s="8" t="s">
        <v>73</v>
      </c>
      <c r="G49" s="8" t="s">
        <v>74</v>
      </c>
    </row>
    <row r="50" spans="1:7" x14ac:dyDescent="0.3">
      <c r="A50" s="15">
        <f>IF(B50="","",1)</f>
        <v>1</v>
      </c>
      <c r="B50" s="9" t="str">
        <f>IF($B$20&lt;2,"",IFERROR(INDEX(Sessoes!$O$5:$O$200,MATCH($B$20&amp;"-2-1",Sessoes!$M$5:$M$200,0)),""))</f>
        <v>Remada curvada com barra</v>
      </c>
      <c r="C50" s="9" t="str">
        <f>IF(B50="","",INDEX(Sessoes!$D$5:$D$200,MATCH($B$20&amp;"-2-1",Sessoes!$M$5:$M$200,0)))</f>
        <v>Costas</v>
      </c>
      <c r="D50" s="9" t="str">
        <f>IF(B50="","",INDEX(Sessoes!$E$5:$E$200,MATCH($B$20&amp;"-2-1",Sessoes!$M$5:$M$200,0)))</f>
        <v>Composto</v>
      </c>
      <c r="E50" s="11">
        <f t="shared" ref="E50:E61" si="4">IF(B50="","",$B$22)</f>
        <v>4</v>
      </c>
      <c r="F50" s="12" t="str">
        <f t="shared" ref="F50:F61" si="5">IF(B50="","",$B$23)</f>
        <v>6 a 12</v>
      </c>
      <c r="G50" s="11">
        <f t="shared" ref="G50:G61" si="6">IF(B50="","",IF(D50="Composto",$B$24,$B$25))</f>
        <v>120</v>
      </c>
    </row>
    <row r="51" spans="1:7" x14ac:dyDescent="0.3">
      <c r="A51" s="15">
        <f>IF(B51="","",2)</f>
        <v>2</v>
      </c>
      <c r="B51" s="9" t="str">
        <f>IF($B$20&lt;2,"",IFERROR(INDEX(Sessoes!$O$5:$O$200,MATCH($B$20&amp;"-2-2",Sessoes!$M$5:$M$200,0)),""))</f>
        <v>Barra fixa (pull-up)</v>
      </c>
      <c r="C51" s="9" t="str">
        <f>IF(B51="","",INDEX(Sessoes!$D$5:$D$200,MATCH($B$20&amp;"-2-2",Sessoes!$M$5:$M$200,0)))</f>
        <v>Costas</v>
      </c>
      <c r="D51" s="9" t="str">
        <f>IF(B51="","",INDEX(Sessoes!$E$5:$E$200,MATCH($B$20&amp;"-2-2",Sessoes!$M$5:$M$200,0)))</f>
        <v>Composto</v>
      </c>
      <c r="E51" s="11">
        <f t="shared" si="4"/>
        <v>4</v>
      </c>
      <c r="F51" s="12" t="str">
        <f t="shared" si="5"/>
        <v>6 a 12</v>
      </c>
      <c r="G51" s="11">
        <f t="shared" si="6"/>
        <v>120</v>
      </c>
    </row>
    <row r="52" spans="1:7" x14ac:dyDescent="0.3">
      <c r="A52" s="15">
        <f>IF(B52="","",3)</f>
        <v>3</v>
      </c>
      <c r="B52" s="9" t="str">
        <f>IF($B$20&lt;2,"",IFERROR(INDEX(Sessoes!$O$5:$O$200,MATCH($B$20&amp;"-2-3",Sessoes!$M$5:$M$200,0)),""))</f>
        <v>Puxada frontal na polia</v>
      </c>
      <c r="C52" s="9" t="str">
        <f>IF(B52="","",INDEX(Sessoes!$D$5:$D$200,MATCH($B$20&amp;"-2-3",Sessoes!$M$5:$M$200,0)))</f>
        <v>Costas</v>
      </c>
      <c r="D52" s="9" t="str">
        <f>IF(B52="","",INDEX(Sessoes!$E$5:$E$200,MATCH($B$20&amp;"-2-3",Sessoes!$M$5:$M$200,0)))</f>
        <v>Composto</v>
      </c>
      <c r="E52" s="11">
        <f t="shared" si="4"/>
        <v>4</v>
      </c>
      <c r="F52" s="12" t="str">
        <f t="shared" si="5"/>
        <v>6 a 12</v>
      </c>
      <c r="G52" s="11">
        <f t="shared" si="6"/>
        <v>120</v>
      </c>
    </row>
    <row r="53" spans="1:7" x14ac:dyDescent="0.3">
      <c r="A53" s="15">
        <f>IF(B53="","",4)</f>
        <v>4</v>
      </c>
      <c r="B53" s="9" t="str">
        <f>IF($B$20&lt;2,"",IFERROR(INDEX(Sessoes!$O$5:$O$200,MATCH($B$20&amp;"-2-4",Sessoes!$M$5:$M$200,0)),""))</f>
        <v>Pullover na polia (braços estendidos)</v>
      </c>
      <c r="C53" s="9" t="str">
        <f>IF(B53="","",INDEX(Sessoes!$D$5:$D$200,MATCH($B$20&amp;"-2-4",Sessoes!$M$5:$M$200,0)))</f>
        <v>Costas</v>
      </c>
      <c r="D53" s="9" t="str">
        <f>IF(B53="","",INDEX(Sessoes!$E$5:$E$200,MATCH($B$20&amp;"-2-4",Sessoes!$M$5:$M$200,0)))</f>
        <v>Isolado</v>
      </c>
      <c r="E53" s="11">
        <f t="shared" si="4"/>
        <v>4</v>
      </c>
      <c r="F53" s="12" t="str">
        <f t="shared" si="5"/>
        <v>6 a 12</v>
      </c>
      <c r="G53" s="11">
        <f t="shared" si="6"/>
        <v>60</v>
      </c>
    </row>
    <row r="54" spans="1:7" x14ac:dyDescent="0.3">
      <c r="A54" s="15">
        <f>IF(B54="","",5)</f>
        <v>5</v>
      </c>
      <c r="B54" s="9" t="str">
        <f>IF($B$20&lt;2,"",IFERROR(INDEX(Sessoes!$O$5:$O$200,MATCH($B$20&amp;"-2-5",Sessoes!$M$5:$M$200,0)),""))</f>
        <v>Crucifixo inverso na máquina (deltoide posterior)</v>
      </c>
      <c r="C54" s="9" t="str">
        <f>IF(B54="","",INDEX(Sessoes!$D$5:$D$200,MATCH($B$20&amp;"-2-5",Sessoes!$M$5:$M$200,0)))</f>
        <v>Ombros</v>
      </c>
      <c r="D54" s="9" t="str">
        <f>IF(B54="","",INDEX(Sessoes!$E$5:$E$200,MATCH($B$20&amp;"-2-5",Sessoes!$M$5:$M$200,0)))</f>
        <v>Isolado</v>
      </c>
      <c r="E54" s="11">
        <f t="shared" si="4"/>
        <v>4</v>
      </c>
      <c r="F54" s="12" t="str">
        <f t="shared" si="5"/>
        <v>6 a 12</v>
      </c>
      <c r="G54" s="11">
        <f t="shared" si="6"/>
        <v>60</v>
      </c>
    </row>
    <row r="55" spans="1:7" x14ac:dyDescent="0.3">
      <c r="A55" s="15">
        <f>IF(B55="","",6)</f>
        <v>6</v>
      </c>
      <c r="B55" s="9" t="str">
        <f>IF($B$20&lt;2,"",IFERROR(INDEX(Sessoes!$O$5:$O$200,MATCH($B$20&amp;"-2-6",Sessoes!$M$5:$M$200,0)),""))</f>
        <v>Rosca direta com barra</v>
      </c>
      <c r="C55" s="9" t="str">
        <f>IF(B55="","",INDEX(Sessoes!$D$5:$D$200,MATCH($B$20&amp;"-2-6",Sessoes!$M$5:$M$200,0)))</f>
        <v>Bíceps</v>
      </c>
      <c r="D55" s="9" t="str">
        <f>IF(B55="","",INDEX(Sessoes!$E$5:$E$200,MATCH($B$20&amp;"-2-6",Sessoes!$M$5:$M$200,0)))</f>
        <v>Isolado</v>
      </c>
      <c r="E55" s="11">
        <f t="shared" si="4"/>
        <v>4</v>
      </c>
      <c r="F55" s="12" t="str">
        <f t="shared" si="5"/>
        <v>6 a 12</v>
      </c>
      <c r="G55" s="11">
        <f t="shared" si="6"/>
        <v>60</v>
      </c>
    </row>
    <row r="56" spans="1:7" x14ac:dyDescent="0.3">
      <c r="A56" s="15">
        <f>IF(B56="","",7)</f>
        <v>7</v>
      </c>
      <c r="B56" s="9" t="str">
        <f>IF($B$20&lt;2,"",IFERROR(INDEX(Sessoes!$O$5:$O$200,MATCH($B$20&amp;"-2-7",Sessoes!$M$5:$M$200,0)),""))</f>
        <v>Rosca alternada com halteres</v>
      </c>
      <c r="C56" s="9" t="str">
        <f>IF(B56="","",INDEX(Sessoes!$D$5:$D$200,MATCH($B$20&amp;"-2-7",Sessoes!$M$5:$M$200,0)))</f>
        <v>Bíceps</v>
      </c>
      <c r="D56" s="9" t="str">
        <f>IF(B56="","",INDEX(Sessoes!$E$5:$E$200,MATCH($B$20&amp;"-2-7",Sessoes!$M$5:$M$200,0)))</f>
        <v>Isolado</v>
      </c>
      <c r="E56" s="12">
        <f t="shared" si="4"/>
        <v>4</v>
      </c>
      <c r="F56" s="12" t="str">
        <f t="shared" si="5"/>
        <v>6 a 12</v>
      </c>
      <c r="G56" s="12">
        <f t="shared" si="6"/>
        <v>60</v>
      </c>
    </row>
    <row r="57" spans="1:7" x14ac:dyDescent="0.3">
      <c r="A57" s="15">
        <f>IF(B57="","",8)</f>
        <v>8</v>
      </c>
      <c r="B57" s="9" t="str">
        <f>IF($B$20&lt;2,"",IFERROR(INDEX(Sessoes!$O$5:$O$200,MATCH($B$20&amp;"-2-8",Sessoes!$M$5:$M$200,0)),""))</f>
        <v>Rosca de punho</v>
      </c>
      <c r="C57" s="9" t="str">
        <f>IF(B57="","",INDEX(Sessoes!$D$5:$D$200,MATCH($B$20&amp;"-2-8",Sessoes!$M$5:$M$200,0)))</f>
        <v>Antebraço</v>
      </c>
      <c r="D57" s="9" t="str">
        <f>IF(B57="","",INDEX(Sessoes!$E$5:$E$200,MATCH($B$20&amp;"-2-8",Sessoes!$M$5:$M$200,0)))</f>
        <v>Isolado</v>
      </c>
      <c r="E57" s="12">
        <f t="shared" si="4"/>
        <v>4</v>
      </c>
      <c r="F57" s="12" t="str">
        <f t="shared" si="5"/>
        <v>6 a 12</v>
      </c>
      <c r="G57" s="12">
        <f t="shared" si="6"/>
        <v>60</v>
      </c>
    </row>
    <row r="58" spans="1:7" x14ac:dyDescent="0.3">
      <c r="A58" s="15" t="str">
        <f>IF(B58="","",9)</f>
        <v/>
      </c>
      <c r="B58" s="9" t="str">
        <f>IF($B$20&lt;2,"",IFERROR(INDEX(Sessoes!$O$5:$O$200,MATCH($B$20&amp;"-2-9",Sessoes!$M$5:$M$200,0)),""))</f>
        <v/>
      </c>
      <c r="C58" s="9" t="str">
        <f>IF(B58="","",INDEX(Sessoes!$D$5:$D$200,MATCH($B$20&amp;"-2-9",Sessoes!$M$5:$M$200,0)))</f>
        <v/>
      </c>
      <c r="D58" s="9" t="str">
        <f>IF(B58="","",INDEX(Sessoes!$E$5:$E$200,MATCH($B$20&amp;"-2-9",Sessoes!$M$5:$M$200,0)))</f>
        <v/>
      </c>
      <c r="E58" s="12" t="str">
        <f t="shared" si="4"/>
        <v/>
      </c>
      <c r="F58" s="12" t="str">
        <f t="shared" si="5"/>
        <v/>
      </c>
      <c r="G58" s="12" t="str">
        <f t="shared" si="6"/>
        <v/>
      </c>
    </row>
    <row r="59" spans="1:7" x14ac:dyDescent="0.3">
      <c r="A59" s="15" t="str">
        <f>IF(B59="","",10)</f>
        <v/>
      </c>
      <c r="B59" s="9" t="str">
        <f>IF($B$20&lt;2,"",IFERROR(INDEX(Sessoes!$O$5:$O$200,MATCH($B$20&amp;"-2-10",Sessoes!$M$5:$M$200,0)),""))</f>
        <v/>
      </c>
      <c r="C59" s="9" t="str">
        <f>IF(B59="","",INDEX(Sessoes!$D$5:$D$200,MATCH($B$20&amp;"-2-10",Sessoes!$M$5:$M$200,0)))</f>
        <v/>
      </c>
      <c r="D59" s="9" t="str">
        <f>IF(B59="","",INDEX(Sessoes!$E$5:$E$200,MATCH($B$20&amp;"-2-10",Sessoes!$M$5:$M$200,0)))</f>
        <v/>
      </c>
      <c r="E59" s="12" t="str">
        <f t="shared" si="4"/>
        <v/>
      </c>
      <c r="F59" s="12" t="str">
        <f t="shared" si="5"/>
        <v/>
      </c>
      <c r="G59" s="12" t="str">
        <f t="shared" si="6"/>
        <v/>
      </c>
    </row>
    <row r="60" spans="1:7" x14ac:dyDescent="0.3">
      <c r="A60" s="15" t="str">
        <f>IF(B60="","",11)</f>
        <v/>
      </c>
      <c r="B60" s="9" t="str">
        <f>IF($B$20&lt;2,"",IFERROR(INDEX(Sessoes!$O$5:$O$200,MATCH($B$20&amp;"-2-11",Sessoes!$M$5:$M$200,0)),""))</f>
        <v/>
      </c>
      <c r="C60" s="9" t="str">
        <f>IF(B60="","",INDEX(Sessoes!$D$5:$D$200,MATCH($B$20&amp;"-2-11",Sessoes!$M$5:$M$200,0)))</f>
        <v/>
      </c>
      <c r="D60" s="9" t="str">
        <f>IF(B60="","",INDEX(Sessoes!$E$5:$E$200,MATCH($B$20&amp;"-2-11",Sessoes!$M$5:$M$200,0)))</f>
        <v/>
      </c>
      <c r="E60" s="12" t="str">
        <f t="shared" si="4"/>
        <v/>
      </c>
      <c r="F60" s="12" t="str">
        <f t="shared" si="5"/>
        <v/>
      </c>
      <c r="G60" s="12" t="str">
        <f t="shared" si="6"/>
        <v/>
      </c>
    </row>
    <row r="61" spans="1:7" x14ac:dyDescent="0.3">
      <c r="A61" s="15" t="str">
        <f>IF(B61="","",12)</f>
        <v/>
      </c>
      <c r="B61" s="9" t="str">
        <f>IF($B$20&lt;2,"",IFERROR(INDEX(Sessoes!$O$5:$O$200,MATCH($B$20&amp;"-2-12",Sessoes!$M$5:$M$200,0)),""))</f>
        <v/>
      </c>
      <c r="C61" s="9" t="str">
        <f>IF(B61="","",INDEX(Sessoes!$D$5:$D$200,MATCH($B$20&amp;"-2-12",Sessoes!$M$5:$M$200,0)))</f>
        <v/>
      </c>
      <c r="D61" s="9" t="str">
        <f>IF(B61="","",INDEX(Sessoes!$E$5:$E$200,MATCH($B$20&amp;"-2-12",Sessoes!$M$5:$M$200,0)))</f>
        <v/>
      </c>
      <c r="E61" s="12" t="str">
        <f t="shared" si="4"/>
        <v/>
      </c>
      <c r="F61" s="12" t="str">
        <f t="shared" si="5"/>
        <v/>
      </c>
      <c r="G61" s="12" t="str">
        <f t="shared" si="6"/>
        <v/>
      </c>
    </row>
    <row r="63" spans="1:7" x14ac:dyDescent="0.3">
      <c r="A63" s="6" t="str">
        <f>IF($B$20&lt;3,"","Dia 3 — "&amp;IFERROR(INDEX(Sessoes!$C$5:$C$200,MATCH($B$20&amp;"-3-1",Sessoes!$M$5:$M$200,0)),""))</f>
        <v>Dia 3 — Pernas</v>
      </c>
      <c r="B63" s="7"/>
      <c r="C63" s="7"/>
      <c r="D63" s="7"/>
      <c r="E63" s="7"/>
      <c r="F63" s="6" t="str">
        <f>IF($B$20&lt;3,"",COUNTIF(B65:B76,"?*")&amp;" exercícios")</f>
        <v>9 exercícios</v>
      </c>
      <c r="G63" s="7"/>
    </row>
    <row r="64" spans="1:7" x14ac:dyDescent="0.3">
      <c r="A64" s="8" t="s">
        <v>68</v>
      </c>
      <c r="B64" s="8" t="s">
        <v>69</v>
      </c>
      <c r="C64" s="8" t="s">
        <v>70</v>
      </c>
      <c r="D64" s="8" t="s">
        <v>71</v>
      </c>
      <c r="E64" s="8" t="s">
        <v>72</v>
      </c>
      <c r="F64" s="8" t="s">
        <v>73</v>
      </c>
      <c r="G64" s="8" t="s">
        <v>74</v>
      </c>
    </row>
    <row r="65" spans="1:7" x14ac:dyDescent="0.3">
      <c r="A65" s="15">
        <f>IF(B65="","",1)</f>
        <v>1</v>
      </c>
      <c r="B65" s="9" t="str">
        <f>IF($B$20&lt;3,"",IFERROR(INDEX(Sessoes!$O$5:$O$200,MATCH($B$20&amp;"-3-1",Sessoes!$M$5:$M$200,0)),""))</f>
        <v>Agachamento livre com barra</v>
      </c>
      <c r="C65" s="9" t="str">
        <f>IF(B65="","",INDEX(Sessoes!$D$5:$D$200,MATCH($B$20&amp;"-3-1",Sessoes!$M$5:$M$200,0)))</f>
        <v>Quadríceps</v>
      </c>
      <c r="D65" s="9" t="str">
        <f>IF(B65="","",INDEX(Sessoes!$E$5:$E$200,MATCH($B$20&amp;"-3-1",Sessoes!$M$5:$M$200,0)))</f>
        <v>Composto</v>
      </c>
      <c r="E65" s="11">
        <f t="shared" ref="E65:E76" si="7">IF(B65="","",$B$22)</f>
        <v>4</v>
      </c>
      <c r="F65" s="12" t="str">
        <f t="shared" ref="F65:F76" si="8">IF(B65="","",$B$23)</f>
        <v>6 a 12</v>
      </c>
      <c r="G65" s="11">
        <f t="shared" ref="G65:G76" si="9">IF(B65="","",IF(D65="Composto",$B$24,$B$25))</f>
        <v>120</v>
      </c>
    </row>
    <row r="66" spans="1:7" x14ac:dyDescent="0.3">
      <c r="A66" s="15">
        <f>IF(B66="","",2)</f>
        <v>2</v>
      </c>
      <c r="B66" s="9" t="str">
        <f>IF($B$20&lt;3,"",IFERROR(INDEX(Sessoes!$O$5:$O$200,MATCH($B$20&amp;"-3-2",Sessoes!$M$5:$M$200,0)),""))</f>
        <v>Agachamento frontal</v>
      </c>
      <c r="C66" s="9" t="str">
        <f>IF(B66="","",INDEX(Sessoes!$D$5:$D$200,MATCH($B$20&amp;"-3-2",Sessoes!$M$5:$M$200,0)))</f>
        <v>Quadríceps</v>
      </c>
      <c r="D66" s="9" t="str">
        <f>IF(B66="","",INDEX(Sessoes!$E$5:$E$200,MATCH($B$20&amp;"-3-2",Sessoes!$M$5:$M$200,0)))</f>
        <v>Composto</v>
      </c>
      <c r="E66" s="11">
        <f t="shared" si="7"/>
        <v>4</v>
      </c>
      <c r="F66" s="12" t="str">
        <f t="shared" si="8"/>
        <v>6 a 12</v>
      </c>
      <c r="G66" s="11">
        <f t="shared" si="9"/>
        <v>120</v>
      </c>
    </row>
    <row r="67" spans="1:7" x14ac:dyDescent="0.3">
      <c r="A67" s="15">
        <f>IF(B67="","",3)</f>
        <v>3</v>
      </c>
      <c r="B67" s="9" t="str">
        <f>IF($B$20&lt;3,"",IFERROR(INDEX(Sessoes!$O$5:$O$200,MATCH($B$20&amp;"-3-3",Sessoes!$M$5:$M$200,0)),""))</f>
        <v>Cadeira extensora</v>
      </c>
      <c r="C67" s="9" t="str">
        <f>IF(B67="","",INDEX(Sessoes!$D$5:$D$200,MATCH($B$20&amp;"-3-3",Sessoes!$M$5:$M$200,0)))</f>
        <v>Quadríceps</v>
      </c>
      <c r="D67" s="9" t="str">
        <f>IF(B67="","",INDEX(Sessoes!$E$5:$E$200,MATCH($B$20&amp;"-3-3",Sessoes!$M$5:$M$200,0)))</f>
        <v>Isolado</v>
      </c>
      <c r="E67" s="11">
        <f t="shared" si="7"/>
        <v>4</v>
      </c>
      <c r="F67" s="12" t="str">
        <f t="shared" si="8"/>
        <v>6 a 12</v>
      </c>
      <c r="G67" s="11">
        <f t="shared" si="9"/>
        <v>60</v>
      </c>
    </row>
    <row r="68" spans="1:7" x14ac:dyDescent="0.3">
      <c r="A68" s="15">
        <f>IF(B68="","",4)</f>
        <v>4</v>
      </c>
      <c r="B68" s="9" t="str">
        <f>IF($B$20&lt;3,"",IFERROR(INDEX(Sessoes!$O$5:$O$200,MATCH($B$20&amp;"-3-4",Sessoes!$M$5:$M$200,0)),""))</f>
        <v>Stiff com barra</v>
      </c>
      <c r="C68" s="9" t="str">
        <f>IF(B68="","",INDEX(Sessoes!$D$5:$D$200,MATCH($B$20&amp;"-3-4",Sessoes!$M$5:$M$200,0)))</f>
        <v>Posterior de coxa</v>
      </c>
      <c r="D68" s="9" t="str">
        <f>IF(B68="","",INDEX(Sessoes!$E$5:$E$200,MATCH($B$20&amp;"-3-4",Sessoes!$M$5:$M$200,0)))</f>
        <v>Composto</v>
      </c>
      <c r="E68" s="11">
        <f t="shared" si="7"/>
        <v>4</v>
      </c>
      <c r="F68" s="12" t="str">
        <f t="shared" si="8"/>
        <v>6 a 12</v>
      </c>
      <c r="G68" s="11">
        <f t="shared" si="9"/>
        <v>120</v>
      </c>
    </row>
    <row r="69" spans="1:7" x14ac:dyDescent="0.3">
      <c r="A69" s="15">
        <f>IF(B69="","",5)</f>
        <v>5</v>
      </c>
      <c r="B69" s="9" t="str">
        <f>IF($B$20&lt;3,"",IFERROR(INDEX(Sessoes!$O$5:$O$200,MATCH($B$20&amp;"-3-5",Sessoes!$M$5:$M$200,0)),""))</f>
        <v>Mesa flexora</v>
      </c>
      <c r="C69" s="9" t="str">
        <f>IF(B69="","",INDEX(Sessoes!$D$5:$D$200,MATCH($B$20&amp;"-3-5",Sessoes!$M$5:$M$200,0)))</f>
        <v>Posterior de coxa</v>
      </c>
      <c r="D69" s="9" t="str">
        <f>IF(B69="","",INDEX(Sessoes!$E$5:$E$200,MATCH($B$20&amp;"-3-5",Sessoes!$M$5:$M$200,0)))</f>
        <v>Isolado</v>
      </c>
      <c r="E69" s="11">
        <f t="shared" si="7"/>
        <v>4</v>
      </c>
      <c r="F69" s="12" t="str">
        <f t="shared" si="8"/>
        <v>6 a 12</v>
      </c>
      <c r="G69" s="11">
        <f t="shared" si="9"/>
        <v>60</v>
      </c>
    </row>
    <row r="70" spans="1:7" x14ac:dyDescent="0.3">
      <c r="A70" s="15">
        <f>IF(B70="","",6)</f>
        <v>6</v>
      </c>
      <c r="B70" s="9" t="str">
        <f>IF($B$20&lt;3,"",IFERROR(INDEX(Sessoes!$O$5:$O$200,MATCH($B$20&amp;"-3-6",Sessoes!$M$5:$M$200,0)),""))</f>
        <v>Elevação pélvica (hip thrust) com barra</v>
      </c>
      <c r="C70" s="9" t="str">
        <f>IF(B70="","",INDEX(Sessoes!$D$5:$D$200,MATCH($B$20&amp;"-3-6",Sessoes!$M$5:$M$200,0)))</f>
        <v>Glúteos</v>
      </c>
      <c r="D70" s="9" t="str">
        <f>IF(B70="","",INDEX(Sessoes!$E$5:$E$200,MATCH($B$20&amp;"-3-6",Sessoes!$M$5:$M$200,0)))</f>
        <v>Composto</v>
      </c>
      <c r="E70" s="11">
        <f t="shared" si="7"/>
        <v>4</v>
      </c>
      <c r="F70" s="12" t="str">
        <f t="shared" si="8"/>
        <v>6 a 12</v>
      </c>
      <c r="G70" s="11">
        <f t="shared" si="9"/>
        <v>120</v>
      </c>
    </row>
    <row r="71" spans="1:7" x14ac:dyDescent="0.3">
      <c r="A71" s="15">
        <f>IF(B71="","",7)</f>
        <v>7</v>
      </c>
      <c r="B71" s="9" t="str">
        <f>IF($B$20&lt;3,"",IFERROR(INDEX(Sessoes!$O$5:$O$200,MATCH($B$20&amp;"-3-7",Sessoes!$M$5:$M$200,0)),""))</f>
        <v>Glúteo na polia (coice)</v>
      </c>
      <c r="C71" s="9" t="str">
        <f>IF(B71="","",INDEX(Sessoes!$D$5:$D$200,MATCH($B$20&amp;"-3-7",Sessoes!$M$5:$M$200,0)))</f>
        <v>Glúteos</v>
      </c>
      <c r="D71" s="9" t="str">
        <f>IF(B71="","",INDEX(Sessoes!$E$5:$E$200,MATCH($B$20&amp;"-3-7",Sessoes!$M$5:$M$200,0)))</f>
        <v>Isolado</v>
      </c>
      <c r="E71" s="12">
        <f t="shared" si="7"/>
        <v>4</v>
      </c>
      <c r="F71" s="12" t="str">
        <f t="shared" si="8"/>
        <v>6 a 12</v>
      </c>
      <c r="G71" s="12">
        <f t="shared" si="9"/>
        <v>60</v>
      </c>
    </row>
    <row r="72" spans="1:7" x14ac:dyDescent="0.3">
      <c r="A72" s="15">
        <f>IF(B72="","",8)</f>
        <v>8</v>
      </c>
      <c r="B72" s="9" t="str">
        <f>IF($B$20&lt;3,"",IFERROR(INDEX(Sessoes!$O$5:$O$200,MATCH($B$20&amp;"-3-8",Sessoes!$M$5:$M$200,0)),""))</f>
        <v>Panturrilha em pé na máquina</v>
      </c>
      <c r="C72" s="9" t="str">
        <f>IF(B72="","",INDEX(Sessoes!$D$5:$D$200,MATCH($B$20&amp;"-3-8",Sessoes!$M$5:$M$200,0)))</f>
        <v>Panturrilha</v>
      </c>
      <c r="D72" s="9" t="str">
        <f>IF(B72="","",INDEX(Sessoes!$E$5:$E$200,MATCH($B$20&amp;"-3-8",Sessoes!$M$5:$M$200,0)))</f>
        <v>Isolado</v>
      </c>
      <c r="E72" s="12">
        <f t="shared" si="7"/>
        <v>4</v>
      </c>
      <c r="F72" s="12" t="str">
        <f t="shared" si="8"/>
        <v>6 a 12</v>
      </c>
      <c r="G72" s="12">
        <f t="shared" si="9"/>
        <v>60</v>
      </c>
    </row>
    <row r="73" spans="1:7" x14ac:dyDescent="0.3">
      <c r="A73" s="15">
        <f>IF(B73="","",9)</f>
        <v>9</v>
      </c>
      <c r="B73" s="9" t="str">
        <f>IF($B$20&lt;3,"",IFERROR(INDEX(Sessoes!$O$5:$O$200,MATCH($B$20&amp;"-3-9",Sessoes!$M$5:$M$200,0)),""))</f>
        <v>Panturrilha sentado</v>
      </c>
      <c r="C73" s="9" t="str">
        <f>IF(B73="","",INDEX(Sessoes!$D$5:$D$200,MATCH($B$20&amp;"-3-9",Sessoes!$M$5:$M$200,0)))</f>
        <v>Panturrilha</v>
      </c>
      <c r="D73" s="9" t="str">
        <f>IF(B73="","",INDEX(Sessoes!$E$5:$E$200,MATCH($B$20&amp;"-3-9",Sessoes!$M$5:$M$200,0)))</f>
        <v>Isolado</v>
      </c>
      <c r="E73" s="12">
        <f t="shared" si="7"/>
        <v>4</v>
      </c>
      <c r="F73" s="12" t="str">
        <f t="shared" si="8"/>
        <v>6 a 12</v>
      </c>
      <c r="G73" s="12">
        <f t="shared" si="9"/>
        <v>60</v>
      </c>
    </row>
    <row r="74" spans="1:7" x14ac:dyDescent="0.3">
      <c r="A74" s="15" t="str">
        <f>IF(B74="","",10)</f>
        <v/>
      </c>
      <c r="B74" s="9" t="str">
        <f>IF($B$20&lt;3,"",IFERROR(INDEX(Sessoes!$O$5:$O$200,MATCH($B$20&amp;"-3-10",Sessoes!$M$5:$M$200,0)),""))</f>
        <v/>
      </c>
      <c r="C74" s="9" t="str">
        <f>IF(B74="","",INDEX(Sessoes!$D$5:$D$200,MATCH($B$20&amp;"-3-10",Sessoes!$M$5:$M$200,0)))</f>
        <v/>
      </c>
      <c r="D74" s="9" t="str">
        <f>IF(B74="","",INDEX(Sessoes!$E$5:$E$200,MATCH($B$20&amp;"-3-10",Sessoes!$M$5:$M$200,0)))</f>
        <v/>
      </c>
      <c r="E74" s="12" t="str">
        <f t="shared" si="7"/>
        <v/>
      </c>
      <c r="F74" s="12" t="str">
        <f t="shared" si="8"/>
        <v/>
      </c>
      <c r="G74" s="12" t="str">
        <f t="shared" si="9"/>
        <v/>
      </c>
    </row>
    <row r="75" spans="1:7" x14ac:dyDescent="0.3">
      <c r="A75" s="15" t="str">
        <f>IF(B75="","",11)</f>
        <v/>
      </c>
      <c r="B75" s="9" t="str">
        <f>IF($B$20&lt;3,"",IFERROR(INDEX(Sessoes!$O$5:$O$200,MATCH($B$20&amp;"-3-11",Sessoes!$M$5:$M$200,0)),""))</f>
        <v/>
      </c>
      <c r="C75" s="9" t="str">
        <f>IF(B75="","",INDEX(Sessoes!$D$5:$D$200,MATCH($B$20&amp;"-3-11",Sessoes!$M$5:$M$200,0)))</f>
        <v/>
      </c>
      <c r="D75" s="9" t="str">
        <f>IF(B75="","",INDEX(Sessoes!$E$5:$E$200,MATCH($B$20&amp;"-3-11",Sessoes!$M$5:$M$200,0)))</f>
        <v/>
      </c>
      <c r="E75" s="12" t="str">
        <f t="shared" si="7"/>
        <v/>
      </c>
      <c r="F75" s="12" t="str">
        <f t="shared" si="8"/>
        <v/>
      </c>
      <c r="G75" s="12" t="str">
        <f t="shared" si="9"/>
        <v/>
      </c>
    </row>
    <row r="76" spans="1:7" x14ac:dyDescent="0.3">
      <c r="A76" s="15" t="str">
        <f>IF(B76="","",12)</f>
        <v/>
      </c>
      <c r="B76" s="9" t="str">
        <f>IF($B$20&lt;3,"",IFERROR(INDEX(Sessoes!$O$5:$O$200,MATCH($B$20&amp;"-3-12",Sessoes!$M$5:$M$200,0)),""))</f>
        <v/>
      </c>
      <c r="C76" s="9" t="str">
        <f>IF(B76="","",INDEX(Sessoes!$D$5:$D$200,MATCH($B$20&amp;"-3-12",Sessoes!$M$5:$M$200,0)))</f>
        <v/>
      </c>
      <c r="D76" s="9" t="str">
        <f>IF(B76="","",INDEX(Sessoes!$E$5:$E$200,MATCH($B$20&amp;"-3-12",Sessoes!$M$5:$M$200,0)))</f>
        <v/>
      </c>
      <c r="E76" s="12" t="str">
        <f t="shared" si="7"/>
        <v/>
      </c>
      <c r="F76" s="12" t="str">
        <f t="shared" si="8"/>
        <v/>
      </c>
      <c r="G76" s="12" t="str">
        <f t="shared" si="9"/>
        <v/>
      </c>
    </row>
    <row r="78" spans="1:7" x14ac:dyDescent="0.3">
      <c r="A78" s="6" t="str">
        <f>IF($B$20&lt;4,"","Dia 4 — "&amp;IFERROR(INDEX(Sessoes!$C$5:$C$200,MATCH($B$20&amp;"-4-1",Sessoes!$M$5:$M$200,0)),""))</f>
        <v>Dia 4 — Superior</v>
      </c>
      <c r="B78" s="7"/>
      <c r="C78" s="7"/>
      <c r="D78" s="7"/>
      <c r="E78" s="7"/>
      <c r="F78" s="6" t="str">
        <f>IF($B$20&lt;4,"",COUNTIF(B80:B91,"?*")&amp;" exercícios")</f>
        <v>7 exercícios</v>
      </c>
      <c r="G78" s="7"/>
    </row>
    <row r="79" spans="1:7" x14ac:dyDescent="0.3">
      <c r="A79" s="8" t="s">
        <v>68</v>
      </c>
      <c r="B79" s="8" t="s">
        <v>69</v>
      </c>
      <c r="C79" s="8" t="s">
        <v>70</v>
      </c>
      <c r="D79" s="8" t="s">
        <v>71</v>
      </c>
      <c r="E79" s="8" t="s">
        <v>72</v>
      </c>
      <c r="F79" s="8" t="s">
        <v>73</v>
      </c>
      <c r="G79" s="8" t="s">
        <v>74</v>
      </c>
    </row>
    <row r="80" spans="1:7" x14ac:dyDescent="0.3">
      <c r="A80" s="15">
        <f>IF(B80="","",1)</f>
        <v>1</v>
      </c>
      <c r="B80" s="9" t="str">
        <f>IF($B$20&lt;4,"",IFERROR(INDEX(Sessoes!$O$5:$O$200,MATCH($B$20&amp;"-4-1",Sessoes!$M$5:$M$200,0)),""))</f>
        <v>Supino reto com halteres</v>
      </c>
      <c r="C80" s="9" t="str">
        <f>IF(B80="","",INDEX(Sessoes!$D$5:$D$200,MATCH($B$20&amp;"-4-1",Sessoes!$M$5:$M$200,0)))</f>
        <v>Peito</v>
      </c>
      <c r="D80" s="9" t="str">
        <f>IF(B80="","",INDEX(Sessoes!$E$5:$E$200,MATCH($B$20&amp;"-4-1",Sessoes!$M$5:$M$200,0)))</f>
        <v>Composto</v>
      </c>
      <c r="E80" s="11">
        <f t="shared" ref="E80:E91" si="10">IF(B80="","",$B$22)</f>
        <v>4</v>
      </c>
      <c r="F80" s="12" t="str">
        <f t="shared" ref="F80:F91" si="11">IF(B80="","",$B$23)</f>
        <v>6 a 12</v>
      </c>
      <c r="G80" s="11">
        <f t="shared" ref="G80:G91" si="12">IF(B80="","",IF(D80="Composto",$B$24,$B$25))</f>
        <v>120</v>
      </c>
    </row>
    <row r="81" spans="1:7" x14ac:dyDescent="0.3">
      <c r="A81" s="15">
        <f>IF(B81="","",2)</f>
        <v>2</v>
      </c>
      <c r="B81" s="9" t="str">
        <f>IF($B$20&lt;4,"",IFERROR(INDEX(Sessoes!$O$5:$O$200,MATCH($B$20&amp;"-4-2",Sessoes!$M$5:$M$200,0)),""))</f>
        <v>Remada baixa na polia (triângulo)</v>
      </c>
      <c r="C81" s="9" t="str">
        <f>IF(B81="","",INDEX(Sessoes!$D$5:$D$200,MATCH($B$20&amp;"-4-2",Sessoes!$M$5:$M$200,0)))</f>
        <v>Costas</v>
      </c>
      <c r="D81" s="9" t="str">
        <f>IF(B81="","",INDEX(Sessoes!$E$5:$E$200,MATCH($B$20&amp;"-4-2",Sessoes!$M$5:$M$200,0)))</f>
        <v>Composto</v>
      </c>
      <c r="E81" s="11">
        <f t="shared" si="10"/>
        <v>4</v>
      </c>
      <c r="F81" s="12" t="str">
        <f t="shared" si="11"/>
        <v>6 a 12</v>
      </c>
      <c r="G81" s="11">
        <f t="shared" si="12"/>
        <v>120</v>
      </c>
    </row>
    <row r="82" spans="1:7" x14ac:dyDescent="0.3">
      <c r="A82" s="15">
        <f>IF(B82="","",3)</f>
        <v>3</v>
      </c>
      <c r="B82" s="9" t="str">
        <f>IF($B$20&lt;4,"",IFERROR(INDEX(Sessoes!$O$5:$O$200,MATCH($B$20&amp;"-4-3",Sessoes!$M$5:$M$200,0)),""))</f>
        <v>Desenvolvimento com halteres</v>
      </c>
      <c r="C82" s="9" t="str">
        <f>IF(B82="","",INDEX(Sessoes!$D$5:$D$200,MATCH($B$20&amp;"-4-3",Sessoes!$M$5:$M$200,0)))</f>
        <v>Ombros</v>
      </c>
      <c r="D82" s="9" t="str">
        <f>IF(B82="","",INDEX(Sessoes!$E$5:$E$200,MATCH($B$20&amp;"-4-3",Sessoes!$M$5:$M$200,0)))</f>
        <v>Composto</v>
      </c>
      <c r="E82" s="11">
        <f t="shared" si="10"/>
        <v>4</v>
      </c>
      <c r="F82" s="12" t="str">
        <f t="shared" si="11"/>
        <v>6 a 12</v>
      </c>
      <c r="G82" s="11">
        <f t="shared" si="12"/>
        <v>120</v>
      </c>
    </row>
    <row r="83" spans="1:7" x14ac:dyDescent="0.3">
      <c r="A83" s="15">
        <f>IF(B83="","",4)</f>
        <v>4</v>
      </c>
      <c r="B83" s="9" t="str">
        <f>IF($B$20&lt;4,"",IFERROR(INDEX(Sessoes!$O$5:$O$200,MATCH($B$20&amp;"-4-4",Sessoes!$M$5:$M$200,0)),""))</f>
        <v>Rosca martelo</v>
      </c>
      <c r="C83" s="9" t="str">
        <f>IF(B83="","",INDEX(Sessoes!$D$5:$D$200,MATCH($B$20&amp;"-4-4",Sessoes!$M$5:$M$200,0)))</f>
        <v>Bíceps</v>
      </c>
      <c r="D83" s="9" t="str">
        <f>IF(B83="","",INDEX(Sessoes!$E$5:$E$200,MATCH($B$20&amp;"-4-4",Sessoes!$M$5:$M$200,0)))</f>
        <v>Isolado</v>
      </c>
      <c r="E83" s="11">
        <f t="shared" si="10"/>
        <v>4</v>
      </c>
      <c r="F83" s="12" t="str">
        <f t="shared" si="11"/>
        <v>6 a 12</v>
      </c>
      <c r="G83" s="11">
        <f t="shared" si="12"/>
        <v>60</v>
      </c>
    </row>
    <row r="84" spans="1:7" x14ac:dyDescent="0.3">
      <c r="A84" s="15">
        <f>IF(B84="","",5)</f>
        <v>5</v>
      </c>
      <c r="B84" s="9" t="str">
        <f>IF($B$20&lt;4,"",IFERROR(INDEX(Sessoes!$O$5:$O$200,MATCH($B$20&amp;"-4-5",Sessoes!$M$5:$M$200,0)),""))</f>
        <v>Tríceps testa</v>
      </c>
      <c r="C84" s="9" t="str">
        <f>IF(B84="","",INDEX(Sessoes!$D$5:$D$200,MATCH($B$20&amp;"-4-5",Sessoes!$M$5:$M$200,0)))</f>
        <v>Tríceps</v>
      </c>
      <c r="D84" s="9" t="str">
        <f>IF(B84="","",INDEX(Sessoes!$E$5:$E$200,MATCH($B$20&amp;"-4-5",Sessoes!$M$5:$M$200,0)))</f>
        <v>Isolado</v>
      </c>
      <c r="E84" s="11">
        <f t="shared" si="10"/>
        <v>4</v>
      </c>
      <c r="F84" s="12" t="str">
        <f t="shared" si="11"/>
        <v>6 a 12</v>
      </c>
      <c r="G84" s="11">
        <f t="shared" si="12"/>
        <v>60</v>
      </c>
    </row>
    <row r="85" spans="1:7" x14ac:dyDescent="0.3">
      <c r="A85" s="15">
        <f>IF(B85="","",6)</f>
        <v>6</v>
      </c>
      <c r="B85" s="9" t="str">
        <f>IF($B$20&lt;4,"",IFERROR(INDEX(Sessoes!$O$5:$O$200,MATCH($B$20&amp;"-4-6",Sessoes!$M$5:$M$200,0)),""))</f>
        <v>Abdominal na polia (ajoelhado)</v>
      </c>
      <c r="C85" s="9" t="str">
        <f>IF(B85="","",INDEX(Sessoes!$D$5:$D$200,MATCH($B$20&amp;"-4-6",Sessoes!$M$5:$M$200,0)))</f>
        <v>Abdômen</v>
      </c>
      <c r="D85" s="9" t="str">
        <f>IF(B85="","",INDEX(Sessoes!$E$5:$E$200,MATCH($B$20&amp;"-4-6",Sessoes!$M$5:$M$200,0)))</f>
        <v>Isolado</v>
      </c>
      <c r="E85" s="11">
        <f t="shared" si="10"/>
        <v>4</v>
      </c>
      <c r="F85" s="12" t="str">
        <f t="shared" si="11"/>
        <v>6 a 12</v>
      </c>
      <c r="G85" s="11">
        <f t="shared" si="12"/>
        <v>60</v>
      </c>
    </row>
    <row r="86" spans="1:7" x14ac:dyDescent="0.3">
      <c r="A86" s="15">
        <f>IF(B86="","",7)</f>
        <v>7</v>
      </c>
      <c r="B86" s="9" t="str">
        <f>IF($B$20&lt;4,"",IFERROR(INDEX(Sessoes!$O$5:$O$200,MATCH($B$20&amp;"-4-7",Sessoes!$M$5:$M$200,0)),""))</f>
        <v>Crucifixo com halteres</v>
      </c>
      <c r="C86" s="9" t="str">
        <f>IF(B86="","",INDEX(Sessoes!$D$5:$D$200,MATCH($B$20&amp;"-4-7",Sessoes!$M$5:$M$200,0)))</f>
        <v>Peito</v>
      </c>
      <c r="D86" s="9" t="str">
        <f>IF(B86="","",INDEX(Sessoes!$E$5:$E$200,MATCH($B$20&amp;"-4-7",Sessoes!$M$5:$M$200,0)))</f>
        <v>Isolado</v>
      </c>
      <c r="E86" s="11">
        <f t="shared" si="10"/>
        <v>4</v>
      </c>
      <c r="F86" s="12" t="str">
        <f t="shared" si="11"/>
        <v>6 a 12</v>
      </c>
      <c r="G86" s="11">
        <f t="shared" si="12"/>
        <v>60</v>
      </c>
    </row>
    <row r="87" spans="1:7" x14ac:dyDescent="0.3">
      <c r="A87" s="15" t="str">
        <f>IF(B87="","",8)</f>
        <v/>
      </c>
      <c r="B87" s="9" t="str">
        <f>IF($B$20&lt;4,"",IFERROR(INDEX(Sessoes!$O$5:$O$200,MATCH($B$20&amp;"-4-8",Sessoes!$M$5:$M$200,0)),""))</f>
        <v/>
      </c>
      <c r="C87" s="9" t="str">
        <f>IF(B87="","",INDEX(Sessoes!$D$5:$D$200,MATCH($B$20&amp;"-4-8",Sessoes!$M$5:$M$200,0)))</f>
        <v/>
      </c>
      <c r="D87" s="9" t="str">
        <f>IF(B87="","",INDEX(Sessoes!$E$5:$E$200,MATCH($B$20&amp;"-4-8",Sessoes!$M$5:$M$200,0)))</f>
        <v/>
      </c>
      <c r="E87" s="12" t="str">
        <f t="shared" si="10"/>
        <v/>
      </c>
      <c r="F87" s="12" t="str">
        <f t="shared" si="11"/>
        <v/>
      </c>
      <c r="G87" s="12" t="str">
        <f t="shared" si="12"/>
        <v/>
      </c>
    </row>
    <row r="88" spans="1:7" x14ac:dyDescent="0.3">
      <c r="A88" s="15" t="str">
        <f>IF(B88="","",9)</f>
        <v/>
      </c>
      <c r="B88" s="9" t="str">
        <f>IF($B$20&lt;4,"",IFERROR(INDEX(Sessoes!$O$5:$O$200,MATCH($B$20&amp;"-4-9",Sessoes!$M$5:$M$200,0)),""))</f>
        <v/>
      </c>
      <c r="C88" s="9" t="str">
        <f>IF(B88="","",INDEX(Sessoes!$D$5:$D$200,MATCH($B$20&amp;"-4-9",Sessoes!$M$5:$M$200,0)))</f>
        <v/>
      </c>
      <c r="D88" s="9" t="str">
        <f>IF(B88="","",INDEX(Sessoes!$E$5:$E$200,MATCH($B$20&amp;"-4-9",Sessoes!$M$5:$M$200,0)))</f>
        <v/>
      </c>
      <c r="E88" s="12" t="str">
        <f t="shared" si="10"/>
        <v/>
      </c>
      <c r="F88" s="12" t="str">
        <f t="shared" si="11"/>
        <v/>
      </c>
      <c r="G88" s="12" t="str">
        <f t="shared" si="12"/>
        <v/>
      </c>
    </row>
    <row r="89" spans="1:7" x14ac:dyDescent="0.3">
      <c r="A89" s="15" t="str">
        <f>IF(B89="","",10)</f>
        <v/>
      </c>
      <c r="B89" s="9" t="str">
        <f>IF($B$20&lt;4,"",IFERROR(INDEX(Sessoes!$O$5:$O$200,MATCH($B$20&amp;"-4-10",Sessoes!$M$5:$M$200,0)),""))</f>
        <v/>
      </c>
      <c r="C89" s="9" t="str">
        <f>IF(B89="","",INDEX(Sessoes!$D$5:$D$200,MATCH($B$20&amp;"-4-10",Sessoes!$M$5:$M$200,0)))</f>
        <v/>
      </c>
      <c r="D89" s="9" t="str">
        <f>IF(B89="","",INDEX(Sessoes!$E$5:$E$200,MATCH($B$20&amp;"-4-10",Sessoes!$M$5:$M$200,0)))</f>
        <v/>
      </c>
      <c r="E89" s="12" t="str">
        <f t="shared" si="10"/>
        <v/>
      </c>
      <c r="F89" s="12" t="str">
        <f t="shared" si="11"/>
        <v/>
      </c>
      <c r="G89" s="12" t="str">
        <f t="shared" si="12"/>
        <v/>
      </c>
    </row>
    <row r="90" spans="1:7" x14ac:dyDescent="0.3">
      <c r="A90" s="15" t="str">
        <f>IF(B90="","",11)</f>
        <v/>
      </c>
      <c r="B90" s="9" t="str">
        <f>IF($B$20&lt;4,"",IFERROR(INDEX(Sessoes!$O$5:$O$200,MATCH($B$20&amp;"-4-11",Sessoes!$M$5:$M$200,0)),""))</f>
        <v/>
      </c>
      <c r="C90" s="9" t="str">
        <f>IF(B90="","",INDEX(Sessoes!$D$5:$D$200,MATCH($B$20&amp;"-4-11",Sessoes!$M$5:$M$200,0)))</f>
        <v/>
      </c>
      <c r="D90" s="9" t="str">
        <f>IF(B90="","",INDEX(Sessoes!$E$5:$E$200,MATCH($B$20&amp;"-4-11",Sessoes!$M$5:$M$200,0)))</f>
        <v/>
      </c>
      <c r="E90" s="12" t="str">
        <f t="shared" si="10"/>
        <v/>
      </c>
      <c r="F90" s="12" t="str">
        <f t="shared" si="11"/>
        <v/>
      </c>
      <c r="G90" s="12" t="str">
        <f t="shared" si="12"/>
        <v/>
      </c>
    </row>
    <row r="91" spans="1:7" x14ac:dyDescent="0.3">
      <c r="A91" s="15" t="str">
        <f>IF(B91="","",12)</f>
        <v/>
      </c>
      <c r="B91" s="9" t="str">
        <f>IF($B$20&lt;4,"",IFERROR(INDEX(Sessoes!$O$5:$O$200,MATCH($B$20&amp;"-4-12",Sessoes!$M$5:$M$200,0)),""))</f>
        <v/>
      </c>
      <c r="C91" s="9" t="str">
        <f>IF(B91="","",INDEX(Sessoes!$D$5:$D$200,MATCH($B$20&amp;"-4-12",Sessoes!$M$5:$M$200,0)))</f>
        <v/>
      </c>
      <c r="D91" s="9" t="str">
        <f>IF(B91="","",INDEX(Sessoes!$E$5:$E$200,MATCH($B$20&amp;"-4-12",Sessoes!$M$5:$M$200,0)))</f>
        <v/>
      </c>
      <c r="E91" s="12" t="str">
        <f t="shared" si="10"/>
        <v/>
      </c>
      <c r="F91" s="12" t="str">
        <f t="shared" si="11"/>
        <v/>
      </c>
      <c r="G91" s="12" t="str">
        <f t="shared" si="12"/>
        <v/>
      </c>
    </row>
    <row r="93" spans="1:7" x14ac:dyDescent="0.3">
      <c r="A93" s="6" t="str">
        <f>IF($B$20&lt;5,"","Dia 5 — "&amp;IFERROR(INDEX(Sessoes!$C$5:$C$200,MATCH($B$20&amp;"-5-1",Sessoes!$M$5:$M$200,0)),""))</f>
        <v>Dia 5 — Inferior + Core</v>
      </c>
      <c r="B93" s="7"/>
      <c r="C93" s="7"/>
      <c r="D93" s="7"/>
      <c r="E93" s="7"/>
      <c r="F93" s="6" t="str">
        <f>IF($B$20&lt;5,"",COUNTIF(B95:B106,"?*")&amp;" exercícios")</f>
        <v>8 exercícios</v>
      </c>
      <c r="G93" s="7"/>
    </row>
    <row r="94" spans="1:7" x14ac:dyDescent="0.3">
      <c r="A94" s="8" t="s">
        <v>68</v>
      </c>
      <c r="B94" s="8" t="s">
        <v>69</v>
      </c>
      <c r="C94" s="8" t="s">
        <v>70</v>
      </c>
      <c r="D94" s="8" t="s">
        <v>71</v>
      </c>
      <c r="E94" s="8" t="s">
        <v>72</v>
      </c>
      <c r="F94" s="8" t="s">
        <v>73</v>
      </c>
      <c r="G94" s="8" t="s">
        <v>74</v>
      </c>
    </row>
    <row r="95" spans="1:7" x14ac:dyDescent="0.3">
      <c r="A95" s="15">
        <f>IF(B95="","",1)</f>
        <v>1</v>
      </c>
      <c r="B95" s="9" t="str">
        <f>IF($B$20&lt;5,"",IFERROR(INDEX(Sessoes!$O$5:$O$200,MATCH($B$20&amp;"-5-1",Sessoes!$M$5:$M$200,0)),""))</f>
        <v>Hack squat</v>
      </c>
      <c r="C95" s="9" t="str">
        <f>IF(B95="","",INDEX(Sessoes!$D$5:$D$200,MATCH($B$20&amp;"-5-1",Sessoes!$M$5:$M$200,0)))</f>
        <v>Quadríceps</v>
      </c>
      <c r="D95" s="9" t="str">
        <f>IF(B95="","",INDEX(Sessoes!$E$5:$E$200,MATCH($B$20&amp;"-5-1",Sessoes!$M$5:$M$200,0)))</f>
        <v>Composto</v>
      </c>
      <c r="E95" s="12">
        <f t="shared" ref="E95:E106" si="13">IF(B95="","",$B$22)</f>
        <v>4</v>
      </c>
      <c r="F95" s="12" t="str">
        <f t="shared" ref="F95:F106" si="14">IF(B95="","",$B$23)</f>
        <v>6 a 12</v>
      </c>
      <c r="G95" s="12">
        <f t="shared" ref="G95:G106" si="15">IF(B95="","",IF(D95="Composto",$B$24,$B$25))</f>
        <v>120</v>
      </c>
    </row>
    <row r="96" spans="1:7" x14ac:dyDescent="0.3">
      <c r="A96" s="15">
        <f>IF(B96="","",2)</f>
        <v>2</v>
      </c>
      <c r="B96" s="9" t="str">
        <f>IF($B$20&lt;5,"",IFERROR(INDEX(Sessoes!$O$5:$O$200,MATCH($B$20&amp;"-5-2",Sessoes!$M$5:$M$200,0)),""))</f>
        <v>Levantamento terra convencional</v>
      </c>
      <c r="C96" s="9" t="str">
        <f>IF(B96="","",INDEX(Sessoes!$D$5:$D$200,MATCH($B$20&amp;"-5-2",Sessoes!$M$5:$M$200,0)))</f>
        <v>Posterior de coxa</v>
      </c>
      <c r="D96" s="9" t="str">
        <f>IF(B96="","",INDEX(Sessoes!$E$5:$E$200,MATCH($B$20&amp;"-5-2",Sessoes!$M$5:$M$200,0)))</f>
        <v>Composto</v>
      </c>
      <c r="E96" s="12">
        <f t="shared" si="13"/>
        <v>4</v>
      </c>
      <c r="F96" s="12" t="str">
        <f t="shared" si="14"/>
        <v>6 a 12</v>
      </c>
      <c r="G96" s="12">
        <f t="shared" si="15"/>
        <v>120</v>
      </c>
    </row>
    <row r="97" spans="1:7" x14ac:dyDescent="0.3">
      <c r="A97" s="15">
        <f>IF(B97="","",3)</f>
        <v>3</v>
      </c>
      <c r="B97" s="9" t="str">
        <f>IF($B$20&lt;5,"",IFERROR(INDEX(Sessoes!$O$5:$O$200,MATCH($B$20&amp;"-5-3",Sessoes!$M$5:$M$200,0)),""))</f>
        <v>Ponte de glúteos (peso do corpo)</v>
      </c>
      <c r="C97" s="9" t="str">
        <f>IF(B97="","",INDEX(Sessoes!$D$5:$D$200,MATCH($B$20&amp;"-5-3",Sessoes!$M$5:$M$200,0)))</f>
        <v>Glúteos</v>
      </c>
      <c r="D97" s="9" t="str">
        <f>IF(B97="","",INDEX(Sessoes!$E$5:$E$200,MATCH($B$20&amp;"-5-3",Sessoes!$M$5:$M$200,0)))</f>
        <v>Composto</v>
      </c>
      <c r="E97" s="12">
        <f t="shared" si="13"/>
        <v>4</v>
      </c>
      <c r="F97" s="12" t="str">
        <f t="shared" si="14"/>
        <v>6 a 12</v>
      </c>
      <c r="G97" s="12">
        <f t="shared" si="15"/>
        <v>120</v>
      </c>
    </row>
    <row r="98" spans="1:7" x14ac:dyDescent="0.3">
      <c r="A98" s="15">
        <f>IF(B98="","",4)</f>
        <v>4</v>
      </c>
      <c r="B98" s="9" t="str">
        <f>IF($B$20&lt;5,"",IFERROR(INDEX(Sessoes!$O$5:$O$200,MATCH($B$20&amp;"-5-4",Sessoes!$M$5:$M$200,0)),""))</f>
        <v>Cadeira flexora</v>
      </c>
      <c r="C98" s="9" t="str">
        <f>IF(B98="","",INDEX(Sessoes!$D$5:$D$200,MATCH($B$20&amp;"-5-4",Sessoes!$M$5:$M$200,0)))</f>
        <v>Posterior de coxa</v>
      </c>
      <c r="D98" s="9" t="str">
        <f>IF(B98="","",INDEX(Sessoes!$E$5:$E$200,MATCH($B$20&amp;"-5-4",Sessoes!$M$5:$M$200,0)))</f>
        <v>Isolado</v>
      </c>
      <c r="E98" s="12">
        <f t="shared" si="13"/>
        <v>4</v>
      </c>
      <c r="F98" s="12" t="str">
        <f t="shared" si="14"/>
        <v>6 a 12</v>
      </c>
      <c r="G98" s="12">
        <f t="shared" si="15"/>
        <v>60</v>
      </c>
    </row>
    <row r="99" spans="1:7" x14ac:dyDescent="0.3">
      <c r="A99" s="15">
        <f>IF(B99="","",5)</f>
        <v>5</v>
      </c>
      <c r="B99" s="9" t="str">
        <f>IF($B$20&lt;5,"",IFERROR(INDEX(Sessoes!$O$5:$O$200,MATCH($B$20&amp;"-5-5",Sessoes!$M$5:$M$200,0)),""))</f>
        <v>Cadeira abdutora</v>
      </c>
      <c r="C99" s="9" t="str">
        <f>IF(B99="","",INDEX(Sessoes!$D$5:$D$200,MATCH($B$20&amp;"-5-5",Sessoes!$M$5:$M$200,0)))</f>
        <v>Glúteos</v>
      </c>
      <c r="D99" s="9" t="str">
        <f>IF(B99="","",INDEX(Sessoes!$E$5:$E$200,MATCH($B$20&amp;"-5-5",Sessoes!$M$5:$M$200,0)))</f>
        <v>Isolado</v>
      </c>
      <c r="E99" s="12">
        <f t="shared" si="13"/>
        <v>4</v>
      </c>
      <c r="F99" s="12" t="str">
        <f t="shared" si="14"/>
        <v>6 a 12</v>
      </c>
      <c r="G99" s="12">
        <f t="shared" si="15"/>
        <v>60</v>
      </c>
    </row>
    <row r="100" spans="1:7" x14ac:dyDescent="0.3">
      <c r="A100" s="15">
        <f>IF(B100="","",6)</f>
        <v>6</v>
      </c>
      <c r="B100" s="9" t="str">
        <f>IF($B$20&lt;5,"",IFERROR(INDEX(Sessoes!$O$5:$O$200,MATCH($B$20&amp;"-5-6",Sessoes!$M$5:$M$200,0)),""))</f>
        <v>Elevação de pernas na barra fixa</v>
      </c>
      <c r="C100" s="9" t="str">
        <f>IF(B100="","",INDEX(Sessoes!$D$5:$D$200,MATCH($B$20&amp;"-5-6",Sessoes!$M$5:$M$200,0)))</f>
        <v>Abdômen</v>
      </c>
      <c r="D100" s="9" t="str">
        <f>IF(B100="","",INDEX(Sessoes!$E$5:$E$200,MATCH($B$20&amp;"-5-6",Sessoes!$M$5:$M$200,0)))</f>
        <v>Isolado</v>
      </c>
      <c r="E100" s="12">
        <f t="shared" si="13"/>
        <v>4</v>
      </c>
      <c r="F100" s="12" t="str">
        <f t="shared" si="14"/>
        <v>6 a 12</v>
      </c>
      <c r="G100" s="12">
        <f t="shared" si="15"/>
        <v>60</v>
      </c>
    </row>
    <row r="101" spans="1:7" x14ac:dyDescent="0.3">
      <c r="A101" s="15">
        <f>IF(B101="","",7)</f>
        <v>7</v>
      </c>
      <c r="B101" s="9" t="str">
        <f>IF($B$20&lt;5,"",IFERROR(INDEX(Sessoes!$O$5:$O$200,MATCH($B$20&amp;"-5-7",Sessoes!$M$5:$M$200,0)),""))</f>
        <v>Extensão lombar (banco 45°)</v>
      </c>
      <c r="C101" s="9" t="str">
        <f>IF(B101="","",INDEX(Sessoes!$D$5:$D$200,MATCH($B$20&amp;"-5-7",Sessoes!$M$5:$M$200,0)))</f>
        <v>Lombar</v>
      </c>
      <c r="D101" s="9" t="str">
        <f>IF(B101="","",INDEX(Sessoes!$E$5:$E$200,MATCH($B$20&amp;"-5-7",Sessoes!$M$5:$M$200,0)))</f>
        <v>Isolado</v>
      </c>
      <c r="E101" s="12">
        <f t="shared" si="13"/>
        <v>4</v>
      </c>
      <c r="F101" s="12" t="str">
        <f t="shared" si="14"/>
        <v>6 a 12</v>
      </c>
      <c r="G101" s="12">
        <f t="shared" si="15"/>
        <v>60</v>
      </c>
    </row>
    <row r="102" spans="1:7" x14ac:dyDescent="0.3">
      <c r="A102" s="15">
        <f>IF(B102="","",8)</f>
        <v>8</v>
      </c>
      <c r="B102" s="9" t="str">
        <f>IF($B$20&lt;5,"",IFERROR(INDEX(Sessoes!$O$5:$O$200,MATCH($B$20&amp;"-5-8",Sessoes!$M$5:$M$200,0)),""))</f>
        <v>Panturrilha no leg press</v>
      </c>
      <c r="C102" s="9" t="str">
        <f>IF(B102="","",INDEX(Sessoes!$D$5:$D$200,MATCH($B$20&amp;"-5-8",Sessoes!$M$5:$M$200,0)))</f>
        <v>Panturrilha</v>
      </c>
      <c r="D102" s="9" t="str">
        <f>IF(B102="","",INDEX(Sessoes!$E$5:$E$200,MATCH($B$20&amp;"-5-8",Sessoes!$M$5:$M$200,0)))</f>
        <v>Isolado</v>
      </c>
      <c r="E102" s="12">
        <f t="shared" si="13"/>
        <v>4</v>
      </c>
      <c r="F102" s="12" t="str">
        <f t="shared" si="14"/>
        <v>6 a 12</v>
      </c>
      <c r="G102" s="12">
        <f t="shared" si="15"/>
        <v>60</v>
      </c>
    </row>
    <row r="103" spans="1:7" x14ac:dyDescent="0.3">
      <c r="A103" s="15" t="str">
        <f>IF(B103="","",9)</f>
        <v/>
      </c>
      <c r="B103" s="9" t="str">
        <f>IF($B$20&lt;5,"",IFERROR(INDEX(Sessoes!$O$5:$O$200,MATCH($B$20&amp;"-5-9",Sessoes!$M$5:$M$200,0)),""))</f>
        <v/>
      </c>
      <c r="C103" s="9" t="str">
        <f>IF(B103="","",INDEX(Sessoes!$D$5:$D$200,MATCH($B$20&amp;"-5-9",Sessoes!$M$5:$M$200,0)))</f>
        <v/>
      </c>
      <c r="D103" s="9" t="str">
        <f>IF(B103="","",INDEX(Sessoes!$E$5:$E$200,MATCH($B$20&amp;"-5-9",Sessoes!$M$5:$M$200,0)))</f>
        <v/>
      </c>
      <c r="E103" s="12" t="str">
        <f t="shared" si="13"/>
        <v/>
      </c>
      <c r="F103" s="12" t="str">
        <f t="shared" si="14"/>
        <v/>
      </c>
      <c r="G103" s="12" t="str">
        <f t="shared" si="15"/>
        <v/>
      </c>
    </row>
    <row r="104" spans="1:7" x14ac:dyDescent="0.3">
      <c r="A104" s="15" t="str">
        <f>IF(B104="","",10)</f>
        <v/>
      </c>
      <c r="B104" s="9" t="str">
        <f>IF($B$20&lt;5,"",IFERROR(INDEX(Sessoes!$O$5:$O$200,MATCH($B$20&amp;"-5-10",Sessoes!$M$5:$M$200,0)),""))</f>
        <v/>
      </c>
      <c r="C104" s="9" t="str">
        <f>IF(B104="","",INDEX(Sessoes!$D$5:$D$200,MATCH($B$20&amp;"-5-10",Sessoes!$M$5:$M$200,0)))</f>
        <v/>
      </c>
      <c r="D104" s="9" t="str">
        <f>IF(B104="","",INDEX(Sessoes!$E$5:$E$200,MATCH($B$20&amp;"-5-10",Sessoes!$M$5:$M$200,0)))</f>
        <v/>
      </c>
      <c r="E104" s="12" t="str">
        <f t="shared" si="13"/>
        <v/>
      </c>
      <c r="F104" s="12" t="str">
        <f t="shared" si="14"/>
        <v/>
      </c>
      <c r="G104" s="12" t="str">
        <f t="shared" si="15"/>
        <v/>
      </c>
    </row>
    <row r="105" spans="1:7" x14ac:dyDescent="0.3">
      <c r="A105" s="15" t="str">
        <f>IF(B105="","",11)</f>
        <v/>
      </c>
      <c r="B105" s="9" t="str">
        <f>IF($B$20&lt;5,"",IFERROR(INDEX(Sessoes!$O$5:$O$200,MATCH($B$20&amp;"-5-11",Sessoes!$M$5:$M$200,0)),""))</f>
        <v/>
      </c>
      <c r="C105" s="9" t="str">
        <f>IF(B105="","",INDEX(Sessoes!$D$5:$D$200,MATCH($B$20&amp;"-5-11",Sessoes!$M$5:$M$200,0)))</f>
        <v/>
      </c>
      <c r="D105" s="9" t="str">
        <f>IF(B105="","",INDEX(Sessoes!$E$5:$E$200,MATCH($B$20&amp;"-5-11",Sessoes!$M$5:$M$200,0)))</f>
        <v/>
      </c>
      <c r="E105" s="12" t="str">
        <f t="shared" si="13"/>
        <v/>
      </c>
      <c r="F105" s="12" t="str">
        <f t="shared" si="14"/>
        <v/>
      </c>
      <c r="G105" s="12" t="str">
        <f t="shared" si="15"/>
        <v/>
      </c>
    </row>
    <row r="106" spans="1:7" x14ac:dyDescent="0.3">
      <c r="A106" s="15" t="str">
        <f>IF(B106="","",12)</f>
        <v/>
      </c>
      <c r="B106" s="9" t="str">
        <f>IF($B$20&lt;5,"",IFERROR(INDEX(Sessoes!$O$5:$O$200,MATCH($B$20&amp;"-5-12",Sessoes!$M$5:$M$200,0)),""))</f>
        <v/>
      </c>
      <c r="C106" s="9" t="str">
        <f>IF(B106="","",INDEX(Sessoes!$D$5:$D$200,MATCH($B$20&amp;"-5-12",Sessoes!$M$5:$M$200,0)))</f>
        <v/>
      </c>
      <c r="D106" s="9" t="str">
        <f>IF(B106="","",INDEX(Sessoes!$E$5:$E$200,MATCH($B$20&amp;"-5-12",Sessoes!$M$5:$M$200,0)))</f>
        <v/>
      </c>
      <c r="E106" s="12" t="str">
        <f t="shared" si="13"/>
        <v/>
      </c>
      <c r="F106" s="12" t="str">
        <f t="shared" si="14"/>
        <v/>
      </c>
      <c r="G106" s="12" t="str">
        <f t="shared" si="15"/>
        <v/>
      </c>
    </row>
  </sheetData>
  <dataValidations count="2">
    <dataValidation type="list" sqref="B5" xr:uid="{00000000-0002-0000-0100-000000000000}">
      <formula1>"Masculino,Feminino,Não informar"</formula1>
      <formula2>0</formula2>
    </dataValidation>
    <dataValidation type="list" sqref="B9:B14" xr:uid="{00000000-0002-0000-0100-000002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1000000}">
          <x14:formula1>
            <xm:f>Niveis!$A$5:$A$7</xm:f>
          </x14:formula1>
          <x14:formula2>
            <xm:f>0</xm:f>
          </x14:formula2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9"/>
  <sheetViews>
    <sheetView zoomScaleNormal="100" workbookViewId="0"/>
  </sheetViews>
  <sheetFormatPr defaultColWidth="8.6640625" defaultRowHeight="14.4" x14ac:dyDescent="0.3"/>
  <cols>
    <col min="1" max="1" width="170" customWidth="1"/>
  </cols>
  <sheetData>
    <row r="1" spans="1:1" ht="17.399999999999999" x14ac:dyDescent="0.3">
      <c r="A1" s="1" t="s">
        <v>75</v>
      </c>
    </row>
    <row r="3" spans="1:1" x14ac:dyDescent="0.3">
      <c r="A3" s="2" t="s">
        <v>76</v>
      </c>
    </row>
    <row r="4" spans="1:1" x14ac:dyDescent="0.3">
      <c r="A4" s="3" t="s">
        <v>77</v>
      </c>
    </row>
    <row r="5" spans="1:1" x14ac:dyDescent="0.3">
      <c r="A5" s="3"/>
    </row>
    <row r="6" spans="1:1" x14ac:dyDescent="0.3">
      <c r="A6" s="2" t="s">
        <v>78</v>
      </c>
    </row>
    <row r="7" spans="1:1" x14ac:dyDescent="0.3">
      <c r="A7" s="3" t="s">
        <v>79</v>
      </c>
    </row>
    <row r="8" spans="1:1" x14ac:dyDescent="0.3">
      <c r="A8" s="3" t="s">
        <v>80</v>
      </c>
    </row>
    <row r="9" spans="1:1" x14ac:dyDescent="0.3">
      <c r="A9" s="3" t="s">
        <v>81</v>
      </c>
    </row>
    <row r="10" spans="1:1" ht="26.4" x14ac:dyDescent="0.3">
      <c r="A10" s="3" t="s">
        <v>82</v>
      </c>
    </row>
    <row r="11" spans="1:1" x14ac:dyDescent="0.3">
      <c r="A11" s="3" t="s">
        <v>83</v>
      </c>
    </row>
    <row r="12" spans="1:1" x14ac:dyDescent="0.3">
      <c r="A12" s="3" t="s">
        <v>84</v>
      </c>
    </row>
    <row r="13" spans="1:1" x14ac:dyDescent="0.3">
      <c r="A13" s="3" t="s">
        <v>85</v>
      </c>
    </row>
    <row r="14" spans="1:1" x14ac:dyDescent="0.3">
      <c r="A14" s="3" t="s">
        <v>86</v>
      </c>
    </row>
    <row r="15" spans="1:1" x14ac:dyDescent="0.3">
      <c r="A15" s="3" t="s">
        <v>87</v>
      </c>
    </row>
    <row r="16" spans="1:1" x14ac:dyDescent="0.3">
      <c r="A16" s="3" t="s">
        <v>88</v>
      </c>
    </row>
    <row r="17" spans="1:1" x14ac:dyDescent="0.3">
      <c r="A17" s="3" t="s">
        <v>89</v>
      </c>
    </row>
    <row r="18" spans="1:1" x14ac:dyDescent="0.3">
      <c r="A18" s="3"/>
    </row>
    <row r="19" spans="1:1" x14ac:dyDescent="0.3">
      <c r="A19" s="2" t="s">
        <v>90</v>
      </c>
    </row>
    <row r="20" spans="1:1" x14ac:dyDescent="0.3">
      <c r="A20" s="16" t="s">
        <v>91</v>
      </c>
    </row>
    <row r="21" spans="1:1" x14ac:dyDescent="0.3">
      <c r="A21" s="16" t="s">
        <v>92</v>
      </c>
    </row>
    <row r="22" spans="1:1" x14ac:dyDescent="0.3">
      <c r="A22" s="16" t="s">
        <v>93</v>
      </c>
    </row>
    <row r="23" spans="1:1" x14ac:dyDescent="0.3">
      <c r="A23" s="16" t="s">
        <v>94</v>
      </c>
    </row>
    <row r="24" spans="1:1" x14ac:dyDescent="0.3">
      <c r="A24" s="16" t="s">
        <v>95</v>
      </c>
    </row>
    <row r="25" spans="1:1" x14ac:dyDescent="0.3">
      <c r="A25" s="16" t="s">
        <v>96</v>
      </c>
    </row>
    <row r="26" spans="1:1" x14ac:dyDescent="0.3">
      <c r="A26" s="16" t="s">
        <v>97</v>
      </c>
    </row>
    <row r="27" spans="1:1" x14ac:dyDescent="0.3">
      <c r="A27" s="16" t="s">
        <v>98</v>
      </c>
    </row>
    <row r="28" spans="1:1" x14ac:dyDescent="0.3">
      <c r="A28" s="16" t="s">
        <v>99</v>
      </c>
    </row>
    <row r="29" spans="1:1" x14ac:dyDescent="0.3">
      <c r="A29" s="16" t="s">
        <v>100</v>
      </c>
    </row>
    <row r="30" spans="1:1" x14ac:dyDescent="0.3">
      <c r="A30" s="16" t="s">
        <v>101</v>
      </c>
    </row>
    <row r="31" spans="1:1" x14ac:dyDescent="0.3">
      <c r="A31" s="16" t="s">
        <v>102</v>
      </c>
    </row>
    <row r="32" spans="1:1" x14ac:dyDescent="0.3">
      <c r="A32" s="16" t="s">
        <v>103</v>
      </c>
    </row>
    <row r="33" spans="1:1" x14ac:dyDescent="0.3">
      <c r="A33" s="16" t="s">
        <v>104</v>
      </c>
    </row>
    <row r="34" spans="1:1" x14ac:dyDescent="0.3">
      <c r="A34" s="3"/>
    </row>
    <row r="35" spans="1:1" x14ac:dyDescent="0.3">
      <c r="A35" s="2" t="s">
        <v>105</v>
      </c>
    </row>
    <row r="36" spans="1:1" x14ac:dyDescent="0.3">
      <c r="A36" s="3" t="s">
        <v>106</v>
      </c>
    </row>
    <row r="37" spans="1:1" x14ac:dyDescent="0.3">
      <c r="A37" s="3" t="s">
        <v>107</v>
      </c>
    </row>
    <row r="38" spans="1:1" x14ac:dyDescent="0.3">
      <c r="A38" s="3" t="s">
        <v>108</v>
      </c>
    </row>
    <row r="39" spans="1:1" x14ac:dyDescent="0.3">
      <c r="A39" s="3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6" customWidth="1"/>
    <col min="2" max="3" width="13" customWidth="1"/>
    <col min="4" max="7" width="15" customWidth="1"/>
    <col min="8" max="8" width="11" customWidth="1"/>
    <col min="9" max="10" width="12" customWidth="1"/>
    <col min="11" max="11" width="20" customWidth="1"/>
    <col min="12" max="12" width="60" customWidth="1"/>
  </cols>
  <sheetData>
    <row r="1" spans="1:12" ht="17.399999999999999" x14ac:dyDescent="0.3">
      <c r="A1" s="1" t="s">
        <v>110</v>
      </c>
    </row>
    <row r="2" spans="1:12" x14ac:dyDescent="0.3">
      <c r="A2" s="4" t="s">
        <v>111</v>
      </c>
    </row>
    <row r="4" spans="1:12" ht="54.75" customHeight="1" x14ac:dyDescent="0.3">
      <c r="A4" s="8" t="s">
        <v>112</v>
      </c>
      <c r="B4" s="8" t="s">
        <v>56</v>
      </c>
      <c r="C4" s="8" t="s">
        <v>113</v>
      </c>
      <c r="D4" s="8" t="s">
        <v>114</v>
      </c>
      <c r="E4" s="8" t="s">
        <v>115</v>
      </c>
      <c r="F4" s="8" t="s">
        <v>116</v>
      </c>
      <c r="G4" s="8" t="s">
        <v>117</v>
      </c>
      <c r="H4" s="8" t="s">
        <v>58</v>
      </c>
      <c r="I4" s="8" t="s">
        <v>118</v>
      </c>
      <c r="J4" s="8" t="s">
        <v>119</v>
      </c>
      <c r="K4" s="8" t="s">
        <v>62</v>
      </c>
      <c r="L4" s="8" t="s">
        <v>120</v>
      </c>
    </row>
    <row r="5" spans="1:12" ht="49.5" customHeight="1" x14ac:dyDescent="0.3">
      <c r="A5" s="17" t="s">
        <v>121</v>
      </c>
      <c r="B5" s="18">
        <v>3</v>
      </c>
      <c r="C5" s="18">
        <v>50</v>
      </c>
      <c r="D5" s="18">
        <v>6</v>
      </c>
      <c r="E5" s="18">
        <v>10</v>
      </c>
      <c r="F5" s="18">
        <v>3</v>
      </c>
      <c r="G5" s="18">
        <v>6</v>
      </c>
      <c r="H5" s="18">
        <v>3</v>
      </c>
      <c r="I5" s="18">
        <v>5</v>
      </c>
      <c r="J5" s="18">
        <v>6</v>
      </c>
      <c r="K5" s="19" t="s">
        <v>122</v>
      </c>
      <c r="L5" s="19" t="s">
        <v>123</v>
      </c>
    </row>
    <row r="6" spans="1:12" ht="49.5" customHeight="1" x14ac:dyDescent="0.3">
      <c r="A6" s="17" t="s">
        <v>32</v>
      </c>
      <c r="B6" s="18">
        <v>4</v>
      </c>
      <c r="C6" s="18">
        <v>65</v>
      </c>
      <c r="D6" s="18">
        <v>9</v>
      </c>
      <c r="E6" s="18">
        <v>15</v>
      </c>
      <c r="F6" s="18">
        <v>3</v>
      </c>
      <c r="G6" s="18">
        <v>9</v>
      </c>
      <c r="H6" s="18">
        <v>3</v>
      </c>
      <c r="I6" s="18">
        <v>6</v>
      </c>
      <c r="J6" s="18">
        <v>8</v>
      </c>
      <c r="K6" s="19" t="s">
        <v>124</v>
      </c>
      <c r="L6" s="19" t="s">
        <v>125</v>
      </c>
    </row>
    <row r="7" spans="1:12" ht="49.5" customHeight="1" x14ac:dyDescent="0.3">
      <c r="A7" s="17" t="s">
        <v>126</v>
      </c>
      <c r="B7" s="18">
        <v>5</v>
      </c>
      <c r="C7" s="18">
        <v>80</v>
      </c>
      <c r="D7" s="18">
        <v>14</v>
      </c>
      <c r="E7" s="18">
        <v>20</v>
      </c>
      <c r="F7" s="18">
        <v>6</v>
      </c>
      <c r="G7" s="18">
        <v>14</v>
      </c>
      <c r="H7" s="18">
        <v>4</v>
      </c>
      <c r="I7" s="18">
        <v>7</v>
      </c>
      <c r="J7" s="18">
        <v>10</v>
      </c>
      <c r="K7" s="19" t="s">
        <v>127</v>
      </c>
      <c r="L7" s="19" t="s">
        <v>128</v>
      </c>
    </row>
    <row r="9" spans="1:12" x14ac:dyDescent="0.3">
      <c r="A9" s="4" t="s">
        <v>129</v>
      </c>
    </row>
    <row r="10" spans="1:12" x14ac:dyDescent="0.3">
      <c r="A10" s="4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26" customWidth="1"/>
    <col min="2" max="2" width="12" customWidth="1"/>
    <col min="3" max="3" width="30" customWidth="1"/>
    <col min="4" max="5" width="9" customWidth="1"/>
    <col min="6" max="7" width="13" customWidth="1"/>
    <col min="8" max="8" width="12" customWidth="1"/>
    <col min="9" max="9" width="36" customWidth="1"/>
    <col min="10" max="10" width="12" customWidth="1"/>
    <col min="11" max="11" width="14" customWidth="1"/>
    <col min="12" max="12" width="58" customWidth="1"/>
  </cols>
  <sheetData>
    <row r="1" spans="1:12" ht="17.399999999999999" x14ac:dyDescent="0.3">
      <c r="A1" s="1" t="s">
        <v>131</v>
      </c>
    </row>
    <row r="2" spans="1:12" x14ac:dyDescent="0.3">
      <c r="A2" s="4" t="s">
        <v>132</v>
      </c>
    </row>
    <row r="4" spans="1:12" ht="45" customHeight="1" x14ac:dyDescent="0.3">
      <c r="A4" s="8" t="s">
        <v>133</v>
      </c>
      <c r="B4" s="8" t="s">
        <v>134</v>
      </c>
      <c r="C4" s="8" t="s">
        <v>135</v>
      </c>
      <c r="D4" s="8" t="s">
        <v>136</v>
      </c>
      <c r="E4" s="8" t="s">
        <v>137</v>
      </c>
      <c r="F4" s="8" t="s">
        <v>138</v>
      </c>
      <c r="G4" s="8" t="s">
        <v>139</v>
      </c>
      <c r="H4" s="8" t="s">
        <v>64</v>
      </c>
      <c r="I4" s="8" t="s">
        <v>65</v>
      </c>
      <c r="J4" s="8" t="s">
        <v>140</v>
      </c>
      <c r="K4" s="8" t="s">
        <v>141</v>
      </c>
      <c r="L4" s="8" t="s">
        <v>142</v>
      </c>
    </row>
    <row r="5" spans="1:12" ht="54.75" customHeight="1" x14ac:dyDescent="0.3">
      <c r="A5" s="17" t="s">
        <v>143</v>
      </c>
      <c r="B5" s="18">
        <v>2</v>
      </c>
      <c r="C5" s="19" t="s">
        <v>144</v>
      </c>
      <c r="D5" s="18">
        <v>8</v>
      </c>
      <c r="E5" s="18">
        <v>15</v>
      </c>
      <c r="F5" s="18">
        <v>60</v>
      </c>
      <c r="G5" s="18">
        <v>45</v>
      </c>
      <c r="H5" s="18">
        <v>150</v>
      </c>
      <c r="I5" s="19" t="s">
        <v>145</v>
      </c>
      <c r="J5" s="18">
        <v>7</v>
      </c>
      <c r="K5" s="18" t="s">
        <v>126</v>
      </c>
      <c r="L5" s="19" t="s">
        <v>146</v>
      </c>
    </row>
    <row r="6" spans="1:12" ht="54.75" customHeight="1" x14ac:dyDescent="0.3">
      <c r="A6" s="17" t="s">
        <v>147</v>
      </c>
      <c r="B6" s="18">
        <v>1</v>
      </c>
      <c r="C6" s="19" t="s">
        <v>148</v>
      </c>
      <c r="D6" s="18">
        <v>6</v>
      </c>
      <c r="E6" s="18">
        <v>12</v>
      </c>
      <c r="F6" s="18">
        <v>120</v>
      </c>
      <c r="G6" s="18">
        <v>60</v>
      </c>
      <c r="H6" s="18">
        <v>60</v>
      </c>
      <c r="I6" s="19" t="s">
        <v>149</v>
      </c>
      <c r="J6" s="18">
        <v>7</v>
      </c>
      <c r="K6" s="18" t="s">
        <v>126</v>
      </c>
      <c r="L6" s="19" t="s">
        <v>150</v>
      </c>
    </row>
    <row r="7" spans="1:12" ht="54.75" customHeight="1" x14ac:dyDescent="0.3">
      <c r="A7" s="17" t="s">
        <v>151</v>
      </c>
      <c r="B7" s="18">
        <v>4</v>
      </c>
      <c r="C7" s="19" t="s">
        <v>152</v>
      </c>
      <c r="D7" s="18">
        <v>12</v>
      </c>
      <c r="E7" s="18">
        <v>20</v>
      </c>
      <c r="F7" s="18">
        <v>45</v>
      </c>
      <c r="G7" s="18">
        <v>30</v>
      </c>
      <c r="H7" s="18">
        <v>150</v>
      </c>
      <c r="I7" s="19" t="s">
        <v>153</v>
      </c>
      <c r="J7" s="18">
        <v>7</v>
      </c>
      <c r="K7" s="18" t="s">
        <v>126</v>
      </c>
      <c r="L7" s="19" t="s">
        <v>154</v>
      </c>
    </row>
    <row r="8" spans="1:12" ht="54.75" customHeight="1" x14ac:dyDescent="0.3">
      <c r="A8" s="17" t="s">
        <v>155</v>
      </c>
      <c r="B8" s="18">
        <v>3</v>
      </c>
      <c r="C8" s="19" t="s">
        <v>156</v>
      </c>
      <c r="D8" s="18">
        <v>15</v>
      </c>
      <c r="E8" s="18">
        <v>25</v>
      </c>
      <c r="F8" s="18">
        <v>45</v>
      </c>
      <c r="G8" s="18">
        <v>30</v>
      </c>
      <c r="H8" s="18">
        <v>120</v>
      </c>
      <c r="I8" s="19" t="s">
        <v>157</v>
      </c>
      <c r="J8" s="18">
        <v>7</v>
      </c>
      <c r="K8" s="18" t="s">
        <v>126</v>
      </c>
      <c r="L8" s="19" t="s">
        <v>158</v>
      </c>
    </row>
    <row r="9" spans="1:12" ht="54.75" customHeight="1" x14ac:dyDescent="0.3">
      <c r="A9" s="17" t="s">
        <v>159</v>
      </c>
      <c r="B9" s="18">
        <v>5</v>
      </c>
      <c r="C9" s="19" t="s">
        <v>160</v>
      </c>
      <c r="D9" s="18">
        <v>10</v>
      </c>
      <c r="E9" s="18">
        <v>15</v>
      </c>
      <c r="F9" s="18">
        <v>75</v>
      </c>
      <c r="G9" s="18">
        <v>60</v>
      </c>
      <c r="H9" s="18">
        <v>60</v>
      </c>
      <c r="I9" s="19" t="s">
        <v>161</v>
      </c>
      <c r="J9" s="18">
        <v>3</v>
      </c>
      <c r="K9" s="18" t="s">
        <v>121</v>
      </c>
      <c r="L9" s="19" t="s">
        <v>162</v>
      </c>
    </row>
    <row r="10" spans="1:12" ht="54.75" customHeight="1" x14ac:dyDescent="0.3">
      <c r="A10" s="17" t="s">
        <v>163</v>
      </c>
      <c r="B10" s="18">
        <v>6</v>
      </c>
      <c r="C10" s="19" t="s">
        <v>164</v>
      </c>
      <c r="D10" s="18">
        <v>10</v>
      </c>
      <c r="E10" s="18">
        <v>15</v>
      </c>
      <c r="F10" s="18">
        <v>75</v>
      </c>
      <c r="G10" s="18">
        <v>60</v>
      </c>
      <c r="H10" s="18">
        <v>150</v>
      </c>
      <c r="I10" s="19" t="s">
        <v>165</v>
      </c>
      <c r="J10" s="18">
        <v>3</v>
      </c>
      <c r="K10" s="18" t="s">
        <v>32</v>
      </c>
      <c r="L10" s="19" t="s">
        <v>166</v>
      </c>
    </row>
    <row r="12" spans="1:12" x14ac:dyDescent="0.3">
      <c r="A12" s="4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5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 x14ac:dyDescent="0.3"/>
  <cols>
    <col min="1" max="1" width="11" customWidth="1"/>
    <col min="2" max="2" width="6" customWidth="1"/>
    <col min="3" max="4" width="18" customWidth="1"/>
    <col min="5" max="5" width="10" customWidth="1"/>
    <col min="6" max="6" width="14" customWidth="1"/>
    <col min="7" max="7" width="8" customWidth="1"/>
    <col min="8" max="8" width="9" customWidth="1"/>
    <col min="9" max="10" width="11" customWidth="1"/>
    <col min="11" max="11" width="8" customWidth="1"/>
    <col min="12" max="12" width="9" customWidth="1"/>
    <col min="13" max="13" width="10" customWidth="1"/>
    <col min="14" max="14" width="28" customWidth="1"/>
    <col min="15" max="15" width="42" customWidth="1"/>
  </cols>
  <sheetData>
    <row r="1" spans="1:15" ht="17.399999999999999" x14ac:dyDescent="0.3">
      <c r="A1" s="1" t="s">
        <v>168</v>
      </c>
    </row>
    <row r="2" spans="1:15" x14ac:dyDescent="0.3">
      <c r="A2" s="4" t="s">
        <v>169</v>
      </c>
    </row>
    <row r="4" spans="1:15" ht="39.75" customHeight="1" x14ac:dyDescent="0.3">
      <c r="A4" s="8" t="s">
        <v>170</v>
      </c>
      <c r="B4" s="8" t="s">
        <v>171</v>
      </c>
      <c r="C4" s="8" t="s">
        <v>172</v>
      </c>
      <c r="D4" s="8" t="s">
        <v>70</v>
      </c>
      <c r="E4" s="8" t="s">
        <v>71</v>
      </c>
      <c r="F4" s="8" t="s">
        <v>173</v>
      </c>
      <c r="G4" s="8" t="s">
        <v>28</v>
      </c>
      <c r="H4" s="8" t="s">
        <v>174</v>
      </c>
      <c r="I4" s="8" t="s">
        <v>175</v>
      </c>
      <c r="J4" s="8" t="s">
        <v>176</v>
      </c>
      <c r="K4" s="8" t="s">
        <v>177</v>
      </c>
      <c r="L4" s="8" t="s">
        <v>178</v>
      </c>
      <c r="M4" s="8" t="s">
        <v>179</v>
      </c>
      <c r="N4" s="8" t="s">
        <v>180</v>
      </c>
      <c r="O4" s="8" t="s">
        <v>181</v>
      </c>
    </row>
    <row r="5" spans="1:15" x14ac:dyDescent="0.3">
      <c r="A5" s="20">
        <v>3</v>
      </c>
      <c r="B5" s="20">
        <v>1</v>
      </c>
      <c r="C5" s="9" t="s">
        <v>182</v>
      </c>
      <c r="D5" s="9" t="s">
        <v>44</v>
      </c>
      <c r="E5" s="9" t="s">
        <v>183</v>
      </c>
      <c r="F5" s="9" t="s">
        <v>121</v>
      </c>
      <c r="G5" s="9" t="s">
        <v>184</v>
      </c>
      <c r="H5" s="13">
        <f>IF(AND(A5=Gerador!$B$20,MATCH(F5,Niveis!$A$5:$A$7,0)&lt;=MATCH(Gerador!$B$19,Niveis!$A$5:$A$7,0),OR(G5="Todos",G5=Gerador!$B$21)),1,0)</f>
        <v>0</v>
      </c>
      <c r="I5" s="13">
        <f>IF(H5=1,COUNTIFS($D$5:D5,D5,$E$5:E5,E5,$H$5:H5,1),0)</f>
        <v>0</v>
      </c>
      <c r="J5" s="13">
        <f>COUNTIFS(Exercicios!$C$5:$C$75,D5,Exercicios!$F$5:$F$75,E5,Exercicios!$H$5:$H$75,"Sim")</f>
        <v>8</v>
      </c>
      <c r="K5" s="13">
        <f t="shared" ref="K5:K36" si="0">IF(AND(H5=1,I5&lt;=J5),1,0)</f>
        <v>0</v>
      </c>
      <c r="L5" s="13">
        <f>IF(K5=1,COUNTIFS($A$5:A5,A5,$B$5:B5,B5,$K$5:K5,1),0)</f>
        <v>0</v>
      </c>
      <c r="M5" s="13" t="str">
        <f t="shared" ref="M5:M36" si="1">IF(K5=1,A5&amp;"-"&amp;B5&amp;"-"&amp;L5,"")</f>
        <v/>
      </c>
      <c r="N5" s="13" t="str">
        <f t="shared" ref="N5:N36" si="2">IF(K5=1,D5&amp;"-"&amp;E5&amp;"-"&amp;I5,"")</f>
        <v/>
      </c>
      <c r="O5" s="13" t="str">
        <f>IF(K5=1,INDEX(Exercicios!$B$5:$B$75,MATCH(N5,Exercicios!$I$5:$I$75,0)),"")</f>
        <v/>
      </c>
    </row>
    <row r="6" spans="1:15" x14ac:dyDescent="0.3">
      <c r="A6" s="20">
        <v>3</v>
      </c>
      <c r="B6" s="20">
        <v>1</v>
      </c>
      <c r="C6" s="9" t="s">
        <v>182</v>
      </c>
      <c r="D6" s="9" t="s">
        <v>29</v>
      </c>
      <c r="E6" s="9" t="s">
        <v>183</v>
      </c>
      <c r="F6" s="9" t="s">
        <v>121</v>
      </c>
      <c r="G6" s="9" t="s">
        <v>184</v>
      </c>
      <c r="H6" s="13">
        <f>IF(AND(A6=Gerador!$B$20,MATCH(F6,Niveis!$A$5:$A$7,0)&lt;=MATCH(Gerador!$B$19,Niveis!$A$5:$A$7,0),OR(G6="Todos",G6=Gerador!$B$21)),1,0)</f>
        <v>0</v>
      </c>
      <c r="I6" s="13">
        <f>IF(H6=1,COUNTIFS($D$5:D6,D6,$E$5:E6,E6,$H$5:H6,1),0)</f>
        <v>0</v>
      </c>
      <c r="J6" s="13">
        <f>COUNTIFS(Exercicios!$C$5:$C$75,D6,Exercicios!$F$5:$F$75,E6,Exercicios!$H$5:$H$75,"Sim")</f>
        <v>7</v>
      </c>
      <c r="K6" s="13">
        <f t="shared" si="0"/>
        <v>0</v>
      </c>
      <c r="L6" s="13">
        <f>IF(K6=1,COUNTIFS($A$5:A6,A6,$B$5:B6,B6,$K$5:K6,1),0)</f>
        <v>0</v>
      </c>
      <c r="M6" s="13" t="str">
        <f t="shared" si="1"/>
        <v/>
      </c>
      <c r="N6" s="13" t="str">
        <f t="shared" si="2"/>
        <v/>
      </c>
      <c r="O6" s="13" t="str">
        <f>IF(K6=1,INDEX(Exercicios!$B$5:$B$75,MATCH(N6,Exercicios!$I$5:$I$75,0)),"")</f>
        <v/>
      </c>
    </row>
    <row r="7" spans="1:15" x14ac:dyDescent="0.3">
      <c r="A7" s="20">
        <v>3</v>
      </c>
      <c r="B7" s="20">
        <v>1</v>
      </c>
      <c r="C7" s="9" t="s">
        <v>182</v>
      </c>
      <c r="D7" s="9" t="s">
        <v>33</v>
      </c>
      <c r="E7" s="9" t="s">
        <v>183</v>
      </c>
      <c r="F7" s="9" t="s">
        <v>121</v>
      </c>
      <c r="G7" s="9" t="s">
        <v>184</v>
      </c>
      <c r="H7" s="13">
        <f>IF(AND(A7=Gerador!$B$20,MATCH(F7,Niveis!$A$5:$A$7,0)&lt;=MATCH(Gerador!$B$19,Niveis!$A$5:$A$7,0),OR(G7="Todos",G7=Gerador!$B$21)),1,0)</f>
        <v>0</v>
      </c>
      <c r="I7" s="13">
        <f>IF(H7=1,COUNTIFS($D$5:D7,D7,$E$5:E7,E7,$H$5:H7,1),0)</f>
        <v>0</v>
      </c>
      <c r="J7" s="13">
        <f>COUNTIFS(Exercicios!$C$5:$C$75,D7,Exercicios!$F$5:$F$75,E7,Exercicios!$H$5:$H$75,"Sim")</f>
        <v>8</v>
      </c>
      <c r="K7" s="13">
        <f t="shared" si="0"/>
        <v>0</v>
      </c>
      <c r="L7" s="13">
        <f>IF(K7=1,COUNTIFS($A$5:A7,A7,$B$5:B7,B7,$K$5:K7,1),0)</f>
        <v>0</v>
      </c>
      <c r="M7" s="13" t="str">
        <f t="shared" si="1"/>
        <v/>
      </c>
      <c r="N7" s="13" t="str">
        <f t="shared" si="2"/>
        <v/>
      </c>
      <c r="O7" s="13" t="str">
        <f>IF(K7=1,INDEX(Exercicios!$B$5:$B$75,MATCH(N7,Exercicios!$I$5:$I$75,0)),"")</f>
        <v/>
      </c>
    </row>
    <row r="8" spans="1:15" x14ac:dyDescent="0.3">
      <c r="A8" s="20">
        <v>3</v>
      </c>
      <c r="B8" s="20">
        <v>1</v>
      </c>
      <c r="C8" s="9" t="s">
        <v>182</v>
      </c>
      <c r="D8" s="9" t="s">
        <v>34</v>
      </c>
      <c r="E8" s="9" t="s">
        <v>183</v>
      </c>
      <c r="F8" s="9" t="s">
        <v>121</v>
      </c>
      <c r="G8" s="9" t="s">
        <v>184</v>
      </c>
      <c r="H8" s="13">
        <f>IF(AND(A8=Gerador!$B$20,MATCH(F8,Niveis!$A$5:$A$7,0)&lt;=MATCH(Gerador!$B$19,Niveis!$A$5:$A$7,0),OR(G8="Todos",G8=Gerador!$B$21)),1,0)</f>
        <v>0</v>
      </c>
      <c r="I8" s="13">
        <f>IF(H8=1,COUNTIFS($D$5:D8,D8,$E$5:E8,E8,$H$5:H8,1),0)</f>
        <v>0</v>
      </c>
      <c r="J8" s="13">
        <f>COUNTIFS(Exercicios!$C$5:$C$75,D8,Exercicios!$F$5:$F$75,E8,Exercicios!$H$5:$H$75,"Sim")</f>
        <v>3</v>
      </c>
      <c r="K8" s="13">
        <f t="shared" si="0"/>
        <v>0</v>
      </c>
      <c r="L8" s="13">
        <f>IF(K8=1,COUNTIFS($A$5:A8,A8,$B$5:B8,B8,$K$5:K8,1),0)</f>
        <v>0</v>
      </c>
      <c r="M8" s="13" t="str">
        <f t="shared" si="1"/>
        <v/>
      </c>
      <c r="N8" s="13" t="str">
        <f t="shared" si="2"/>
        <v/>
      </c>
      <c r="O8" s="13" t="str">
        <f>IF(K8=1,INDEX(Exercicios!$B$5:$B$75,MATCH(N8,Exercicios!$I$5:$I$75,0)),"")</f>
        <v/>
      </c>
    </row>
    <row r="9" spans="1:15" x14ac:dyDescent="0.3">
      <c r="A9" s="20">
        <v>3</v>
      </c>
      <c r="B9" s="20">
        <v>1</v>
      </c>
      <c r="C9" s="9" t="s">
        <v>182</v>
      </c>
      <c r="D9" s="9" t="s">
        <v>29</v>
      </c>
      <c r="E9" s="9" t="s">
        <v>185</v>
      </c>
      <c r="F9" s="9" t="s">
        <v>32</v>
      </c>
      <c r="G9" s="9" t="s">
        <v>184</v>
      </c>
      <c r="H9" s="13">
        <f>IF(AND(A9=Gerador!$B$20,MATCH(F9,Niveis!$A$5:$A$7,0)&lt;=MATCH(Gerador!$B$19,Niveis!$A$5:$A$7,0),OR(G9="Todos",G9=Gerador!$B$21)),1,0)</f>
        <v>0</v>
      </c>
      <c r="I9" s="13">
        <f>IF(H9=1,COUNTIFS($D$5:D9,D9,$E$5:E9,E9,$H$5:H9,1),0)</f>
        <v>0</v>
      </c>
      <c r="J9" s="13">
        <f>COUNTIFS(Exercicios!$C$5:$C$75,D9,Exercicios!$F$5:$F$75,E9,Exercicios!$H$5:$H$75,"Sim")</f>
        <v>3</v>
      </c>
      <c r="K9" s="13">
        <f t="shared" si="0"/>
        <v>0</v>
      </c>
      <c r="L9" s="13">
        <f>IF(K9=1,COUNTIFS($A$5:A9,A9,$B$5:B9,B9,$K$5:K9,1),0)</f>
        <v>0</v>
      </c>
      <c r="M9" s="13" t="str">
        <f t="shared" si="1"/>
        <v/>
      </c>
      <c r="N9" s="13" t="str">
        <f t="shared" si="2"/>
        <v/>
      </c>
      <c r="O9" s="13" t="str">
        <f>IF(K9=1,INDEX(Exercicios!$B$5:$B$75,MATCH(N9,Exercicios!$I$5:$I$75,0)),"")</f>
        <v/>
      </c>
    </row>
    <row r="10" spans="1:15" x14ac:dyDescent="0.3">
      <c r="A10" s="20">
        <v>3</v>
      </c>
      <c r="B10" s="20">
        <v>1</v>
      </c>
      <c r="C10" s="9" t="s">
        <v>182</v>
      </c>
      <c r="D10" s="9" t="s">
        <v>34</v>
      </c>
      <c r="E10" s="9" t="s">
        <v>185</v>
      </c>
      <c r="F10" s="9" t="s">
        <v>32</v>
      </c>
      <c r="G10" s="9" t="s">
        <v>184</v>
      </c>
      <c r="H10" s="13">
        <f>IF(AND(A10=Gerador!$B$20,MATCH(F10,Niveis!$A$5:$A$7,0)&lt;=MATCH(Gerador!$B$19,Niveis!$A$5:$A$7,0),OR(G10="Todos",G10=Gerador!$B$21)),1,0)</f>
        <v>0</v>
      </c>
      <c r="I10" s="13">
        <f>IF(H10=1,COUNTIFS($D$5:D10,D10,$E$5:E10,E10,$H$5:H10,1),0)</f>
        <v>0</v>
      </c>
      <c r="J10" s="13">
        <f>COUNTIFS(Exercicios!$C$5:$C$75,D10,Exercicios!$F$5:$F$75,E10,Exercicios!$H$5:$H$75,"Sim")</f>
        <v>5</v>
      </c>
      <c r="K10" s="13">
        <f t="shared" si="0"/>
        <v>0</v>
      </c>
      <c r="L10" s="13">
        <f>IF(K10=1,COUNTIFS($A$5:A10,A10,$B$5:B10,B10,$K$5:K10,1),0)</f>
        <v>0</v>
      </c>
      <c r="M10" s="13" t="str">
        <f t="shared" si="1"/>
        <v/>
      </c>
      <c r="N10" s="13" t="str">
        <f t="shared" si="2"/>
        <v/>
      </c>
      <c r="O10" s="13" t="str">
        <f>IF(K10=1,INDEX(Exercicios!$B$5:$B$75,MATCH(N10,Exercicios!$I$5:$I$75,0)),"")</f>
        <v/>
      </c>
    </row>
    <row r="11" spans="1:15" x14ac:dyDescent="0.3">
      <c r="A11" s="20">
        <v>3</v>
      </c>
      <c r="B11" s="20">
        <v>1</v>
      </c>
      <c r="C11" s="9" t="s">
        <v>182</v>
      </c>
      <c r="D11" s="9" t="s">
        <v>29</v>
      </c>
      <c r="E11" s="9" t="s">
        <v>185</v>
      </c>
      <c r="F11" s="9" t="s">
        <v>121</v>
      </c>
      <c r="G11" s="9" t="s">
        <v>186</v>
      </c>
      <c r="H11" s="13">
        <f>IF(AND(A11=Gerador!$B$20,MATCH(F11,Niveis!$A$5:$A$7,0)&lt;=MATCH(Gerador!$B$19,Niveis!$A$5:$A$7,0),OR(G11="Todos",G11=Gerador!$B$21)),1,0)</f>
        <v>0</v>
      </c>
      <c r="I11" s="13">
        <f>IF(H11=1,COUNTIFS($D$5:D11,D11,$E$5:E11,E11,$H$5:H11,1),0)</f>
        <v>0</v>
      </c>
      <c r="J11" s="13">
        <f>COUNTIFS(Exercicios!$C$5:$C$75,D11,Exercicios!$F$5:$F$75,E11,Exercicios!$H$5:$H$75,"Sim")</f>
        <v>3</v>
      </c>
      <c r="K11" s="13">
        <f t="shared" si="0"/>
        <v>0</v>
      </c>
      <c r="L11" s="13">
        <f>IF(K11=1,COUNTIFS($A$5:A11,A11,$B$5:B11,B11,$K$5:K11,1),0)</f>
        <v>0</v>
      </c>
      <c r="M11" s="13" t="str">
        <f t="shared" si="1"/>
        <v/>
      </c>
      <c r="N11" s="13" t="str">
        <f t="shared" si="2"/>
        <v/>
      </c>
      <c r="O11" s="13" t="str">
        <f>IF(K11=1,INDEX(Exercicios!$B$5:$B$75,MATCH(N11,Exercicios!$I$5:$I$75,0)),"")</f>
        <v/>
      </c>
    </row>
    <row r="12" spans="1:15" x14ac:dyDescent="0.3">
      <c r="A12" s="20">
        <v>3</v>
      </c>
      <c r="B12" s="20">
        <v>1</v>
      </c>
      <c r="C12" s="9" t="s">
        <v>182</v>
      </c>
      <c r="D12" s="9" t="s">
        <v>34</v>
      </c>
      <c r="E12" s="9" t="s">
        <v>185</v>
      </c>
      <c r="F12" s="9" t="s">
        <v>121</v>
      </c>
      <c r="G12" s="9" t="s">
        <v>187</v>
      </c>
      <c r="H12" s="13">
        <f>IF(AND(A12=Gerador!$B$20,MATCH(F12,Niveis!$A$5:$A$7,0)&lt;=MATCH(Gerador!$B$19,Niveis!$A$5:$A$7,0),OR(G12="Todos",G12=Gerador!$B$21)),1,0)</f>
        <v>0</v>
      </c>
      <c r="I12" s="13">
        <f>IF(H12=1,COUNTIFS($D$5:D12,D12,$E$5:E12,E12,$H$5:H12,1),0)</f>
        <v>0</v>
      </c>
      <c r="J12" s="13">
        <f>COUNTIFS(Exercicios!$C$5:$C$75,D12,Exercicios!$F$5:$F$75,E12,Exercicios!$H$5:$H$75,"Sim")</f>
        <v>5</v>
      </c>
      <c r="K12" s="13">
        <f t="shared" si="0"/>
        <v>0</v>
      </c>
      <c r="L12" s="13">
        <f>IF(K12=1,COUNTIFS($A$5:A12,A12,$B$5:B12,B12,$K$5:K12,1),0)</f>
        <v>0</v>
      </c>
      <c r="M12" s="13" t="str">
        <f t="shared" si="1"/>
        <v/>
      </c>
      <c r="N12" s="13" t="str">
        <f t="shared" si="2"/>
        <v/>
      </c>
      <c r="O12" s="13" t="str">
        <f>IF(K12=1,INDEX(Exercicios!$B$5:$B$75,MATCH(N12,Exercicios!$I$5:$I$75,0)),"")</f>
        <v/>
      </c>
    </row>
    <row r="13" spans="1:15" x14ac:dyDescent="0.3">
      <c r="A13" s="20">
        <v>3</v>
      </c>
      <c r="B13" s="20">
        <v>1</v>
      </c>
      <c r="C13" s="9" t="s">
        <v>182</v>
      </c>
      <c r="D13" s="9" t="s">
        <v>39</v>
      </c>
      <c r="E13" s="9" t="s">
        <v>185</v>
      </c>
      <c r="F13" s="9" t="s">
        <v>121</v>
      </c>
      <c r="G13" s="9" t="s">
        <v>188</v>
      </c>
      <c r="H13" s="13">
        <f>IF(AND(A13=Gerador!$B$20,MATCH(F13,Niveis!$A$5:$A$7,0)&lt;=MATCH(Gerador!$B$19,Niveis!$A$5:$A$7,0),OR(G13="Todos",G13=Gerador!$B$21)),1,0)</f>
        <v>0</v>
      </c>
      <c r="I13" s="13">
        <f>IF(H13=1,COUNTIFS($D$5:D13,D13,$E$5:E13,E13,$H$5:H13,1),0)</f>
        <v>0</v>
      </c>
      <c r="J13" s="13">
        <f>COUNTIFS(Exercicios!$C$5:$C$75,D13,Exercicios!$F$5:$F$75,E13,Exercicios!$H$5:$H$75,"Sim")</f>
        <v>5</v>
      </c>
      <c r="K13" s="13">
        <f t="shared" si="0"/>
        <v>0</v>
      </c>
      <c r="L13" s="13">
        <f>IF(K13=1,COUNTIFS($A$5:A13,A13,$B$5:B13,B13,$K$5:K13,1),0)</f>
        <v>0</v>
      </c>
      <c r="M13" s="13" t="str">
        <f t="shared" si="1"/>
        <v/>
      </c>
      <c r="N13" s="13" t="str">
        <f t="shared" si="2"/>
        <v/>
      </c>
      <c r="O13" s="13" t="str">
        <f>IF(K13=1,INDEX(Exercicios!$B$5:$B$75,MATCH(N13,Exercicios!$I$5:$I$75,0)),"")</f>
        <v/>
      </c>
    </row>
    <row r="14" spans="1:15" x14ac:dyDescent="0.3">
      <c r="A14" s="20">
        <v>3</v>
      </c>
      <c r="B14" s="20">
        <v>1</v>
      </c>
      <c r="C14" s="9" t="s">
        <v>182</v>
      </c>
      <c r="D14" s="9" t="s">
        <v>48</v>
      </c>
      <c r="E14" s="9" t="s">
        <v>185</v>
      </c>
      <c r="F14" s="9" t="s">
        <v>121</v>
      </c>
      <c r="G14" s="9" t="s">
        <v>184</v>
      </c>
      <c r="H14" s="13">
        <f>IF(AND(A14=Gerador!$B$20,MATCH(F14,Niveis!$A$5:$A$7,0)&lt;=MATCH(Gerador!$B$19,Niveis!$A$5:$A$7,0),OR(G14="Todos",G14=Gerador!$B$21)),1,0)</f>
        <v>0</v>
      </c>
      <c r="I14" s="13">
        <f>IF(H14=1,COUNTIFS($D$5:D14,D14,$E$5:E14,E14,$H$5:H14,1),0)</f>
        <v>0</v>
      </c>
      <c r="J14" s="13">
        <f>COUNTIFS(Exercicios!$C$5:$C$75,D14,Exercicios!$F$5:$F$75,E14,Exercicios!$H$5:$H$75,"Sim")</f>
        <v>6</v>
      </c>
      <c r="K14" s="13">
        <f t="shared" si="0"/>
        <v>0</v>
      </c>
      <c r="L14" s="13">
        <f>IF(K14=1,COUNTIFS($A$5:A14,A14,$B$5:B14,B14,$K$5:K14,1),0)</f>
        <v>0</v>
      </c>
      <c r="M14" s="13" t="str">
        <f t="shared" si="1"/>
        <v/>
      </c>
      <c r="N14" s="13" t="str">
        <f t="shared" si="2"/>
        <v/>
      </c>
      <c r="O14" s="13" t="str">
        <f>IF(K14=1,INDEX(Exercicios!$B$5:$B$75,MATCH(N14,Exercicios!$I$5:$I$75,0)),"")</f>
        <v/>
      </c>
    </row>
    <row r="15" spans="1:15" x14ac:dyDescent="0.3">
      <c r="A15" s="20">
        <v>3</v>
      </c>
      <c r="B15" s="20">
        <v>2</v>
      </c>
      <c r="C15" s="9" t="s">
        <v>189</v>
      </c>
      <c r="D15" s="9" t="s">
        <v>45</v>
      </c>
      <c r="E15" s="9" t="s">
        <v>183</v>
      </c>
      <c r="F15" s="9" t="s">
        <v>121</v>
      </c>
      <c r="G15" s="9" t="s">
        <v>184</v>
      </c>
      <c r="H15" s="13">
        <f>IF(AND(A15=Gerador!$B$20,MATCH(F15,Niveis!$A$5:$A$7,0)&lt;=MATCH(Gerador!$B$19,Niveis!$A$5:$A$7,0),OR(G15="Todos",G15=Gerador!$B$21)),1,0)</f>
        <v>0</v>
      </c>
      <c r="I15" s="13">
        <f>IF(H15=1,COUNTIFS($D$5:D15,D15,$E$5:E15,E15,$H$5:H15,1),0)</f>
        <v>0</v>
      </c>
      <c r="J15" s="13">
        <f>COUNTIFS(Exercicios!$C$5:$C$75,D15,Exercicios!$F$5:$F$75,E15,Exercicios!$H$5:$H$75,"Sim")</f>
        <v>4</v>
      </c>
      <c r="K15" s="13">
        <f t="shared" si="0"/>
        <v>0</v>
      </c>
      <c r="L15" s="13">
        <f>IF(K15=1,COUNTIFS($A$5:A15,A15,$B$5:B15,B15,$K$5:K15,1),0)</f>
        <v>0</v>
      </c>
      <c r="M15" s="13" t="str">
        <f t="shared" si="1"/>
        <v/>
      </c>
      <c r="N15" s="13" t="str">
        <f t="shared" si="2"/>
        <v/>
      </c>
      <c r="O15" s="13" t="str">
        <f>IF(K15=1,INDEX(Exercicios!$B$5:$B$75,MATCH(N15,Exercicios!$I$5:$I$75,0)),"")</f>
        <v/>
      </c>
    </row>
    <row r="16" spans="1:15" x14ac:dyDescent="0.3">
      <c r="A16" s="20">
        <v>3</v>
      </c>
      <c r="B16" s="20">
        <v>2</v>
      </c>
      <c r="C16" s="9" t="s">
        <v>189</v>
      </c>
      <c r="D16" s="9" t="s">
        <v>46</v>
      </c>
      <c r="E16" s="9" t="s">
        <v>183</v>
      </c>
      <c r="F16" s="9" t="s">
        <v>121</v>
      </c>
      <c r="G16" s="9" t="s">
        <v>184</v>
      </c>
      <c r="H16" s="13">
        <f>IF(AND(A16=Gerador!$B$20,MATCH(F16,Niveis!$A$5:$A$7,0)&lt;=MATCH(Gerador!$B$19,Niveis!$A$5:$A$7,0),OR(G16="Todos",G16=Gerador!$B$21)),1,0)</f>
        <v>0</v>
      </c>
      <c r="I16" s="13">
        <f>IF(H16=1,COUNTIFS($D$5:D16,D16,$E$5:E16,E16,$H$5:H16,1),0)</f>
        <v>0</v>
      </c>
      <c r="J16" s="13">
        <f>COUNTIFS(Exercicios!$C$5:$C$75,D16,Exercicios!$F$5:$F$75,E16,Exercicios!$H$5:$H$75,"Sim")</f>
        <v>3</v>
      </c>
      <c r="K16" s="13">
        <f t="shared" si="0"/>
        <v>0</v>
      </c>
      <c r="L16" s="13">
        <f>IF(K16=1,COUNTIFS($A$5:A16,A16,$B$5:B16,B16,$K$5:K16,1),0)</f>
        <v>0</v>
      </c>
      <c r="M16" s="13" t="str">
        <f t="shared" si="1"/>
        <v/>
      </c>
      <c r="N16" s="13" t="str">
        <f t="shared" si="2"/>
        <v/>
      </c>
      <c r="O16" s="13" t="str">
        <f>IF(K16=1,INDEX(Exercicios!$B$5:$B$75,MATCH(N16,Exercicios!$I$5:$I$75,0)),"")</f>
        <v/>
      </c>
    </row>
    <row r="17" spans="1:15" x14ac:dyDescent="0.3">
      <c r="A17" s="20">
        <v>3</v>
      </c>
      <c r="B17" s="20">
        <v>2</v>
      </c>
      <c r="C17" s="9" t="s">
        <v>189</v>
      </c>
      <c r="D17" s="9" t="s">
        <v>33</v>
      </c>
      <c r="E17" s="9" t="s">
        <v>183</v>
      </c>
      <c r="F17" s="9" t="s">
        <v>121</v>
      </c>
      <c r="G17" s="9" t="s">
        <v>184</v>
      </c>
      <c r="H17" s="13">
        <f>IF(AND(A17=Gerador!$B$20,MATCH(F17,Niveis!$A$5:$A$7,0)&lt;=MATCH(Gerador!$B$19,Niveis!$A$5:$A$7,0),OR(G17="Todos",G17=Gerador!$B$21)),1,0)</f>
        <v>0</v>
      </c>
      <c r="I17" s="13">
        <f>IF(H17=1,COUNTIFS($D$5:D17,D17,$E$5:E17,E17,$H$5:H17,1),0)</f>
        <v>0</v>
      </c>
      <c r="J17" s="13">
        <f>COUNTIFS(Exercicios!$C$5:$C$75,D17,Exercicios!$F$5:$F$75,E17,Exercicios!$H$5:$H$75,"Sim")</f>
        <v>8</v>
      </c>
      <c r="K17" s="13">
        <f t="shared" si="0"/>
        <v>0</v>
      </c>
      <c r="L17" s="13">
        <f>IF(K17=1,COUNTIFS($A$5:A17,A17,$B$5:B17,B17,$K$5:K17,1),0)</f>
        <v>0</v>
      </c>
      <c r="M17" s="13" t="str">
        <f t="shared" si="1"/>
        <v/>
      </c>
      <c r="N17" s="13" t="str">
        <f t="shared" si="2"/>
        <v/>
      </c>
      <c r="O17" s="13" t="str">
        <f>IF(K17=1,INDEX(Exercicios!$B$5:$B$75,MATCH(N17,Exercicios!$I$5:$I$75,0)),"")</f>
        <v/>
      </c>
    </row>
    <row r="18" spans="1:15" x14ac:dyDescent="0.3">
      <c r="A18" s="20">
        <v>3</v>
      </c>
      <c r="B18" s="20">
        <v>2</v>
      </c>
      <c r="C18" s="9" t="s">
        <v>189</v>
      </c>
      <c r="D18" s="9" t="s">
        <v>33</v>
      </c>
      <c r="E18" s="9" t="s">
        <v>183</v>
      </c>
      <c r="F18" s="9" t="s">
        <v>32</v>
      </c>
      <c r="G18" s="9" t="s">
        <v>184</v>
      </c>
      <c r="H18" s="13">
        <f>IF(AND(A18=Gerador!$B$20,MATCH(F18,Niveis!$A$5:$A$7,0)&lt;=MATCH(Gerador!$B$19,Niveis!$A$5:$A$7,0),OR(G18="Todos",G18=Gerador!$B$21)),1,0)</f>
        <v>0</v>
      </c>
      <c r="I18" s="13">
        <f>IF(H18=1,COUNTIFS($D$5:D18,D18,$E$5:E18,E18,$H$5:H18,1),0)</f>
        <v>0</v>
      </c>
      <c r="J18" s="13">
        <f>COUNTIFS(Exercicios!$C$5:$C$75,D18,Exercicios!$F$5:$F$75,E18,Exercicios!$H$5:$H$75,"Sim")</f>
        <v>8</v>
      </c>
      <c r="K18" s="13">
        <f t="shared" si="0"/>
        <v>0</v>
      </c>
      <c r="L18" s="13">
        <f>IF(K18=1,COUNTIFS($A$5:A18,A18,$B$5:B18,B18,$K$5:K18,1),0)</f>
        <v>0</v>
      </c>
      <c r="M18" s="13" t="str">
        <f t="shared" si="1"/>
        <v/>
      </c>
      <c r="N18" s="13" t="str">
        <f t="shared" si="2"/>
        <v/>
      </c>
      <c r="O18" s="13" t="str">
        <f>IF(K18=1,INDEX(Exercicios!$B$5:$B$75,MATCH(N18,Exercicios!$I$5:$I$75,0)),"")</f>
        <v/>
      </c>
    </row>
    <row r="19" spans="1:15" x14ac:dyDescent="0.3">
      <c r="A19" s="20">
        <v>3</v>
      </c>
      <c r="B19" s="20">
        <v>2</v>
      </c>
      <c r="C19" s="9" t="s">
        <v>189</v>
      </c>
      <c r="D19" s="9" t="s">
        <v>29</v>
      </c>
      <c r="E19" s="9" t="s">
        <v>183</v>
      </c>
      <c r="F19" s="9" t="s">
        <v>121</v>
      </c>
      <c r="G19" s="9" t="s">
        <v>184</v>
      </c>
      <c r="H19" s="13">
        <f>IF(AND(A19=Gerador!$B$20,MATCH(F19,Niveis!$A$5:$A$7,0)&lt;=MATCH(Gerador!$B$19,Niveis!$A$5:$A$7,0),OR(G19="Todos",G19=Gerador!$B$21)),1,0)</f>
        <v>0</v>
      </c>
      <c r="I19" s="13">
        <f>IF(H19=1,COUNTIFS($D$5:D19,D19,$E$5:E19,E19,$H$5:H19,1),0)</f>
        <v>0</v>
      </c>
      <c r="J19" s="13">
        <f>COUNTIFS(Exercicios!$C$5:$C$75,D19,Exercicios!$F$5:$F$75,E19,Exercicios!$H$5:$H$75,"Sim")</f>
        <v>7</v>
      </c>
      <c r="K19" s="13">
        <f t="shared" si="0"/>
        <v>0</v>
      </c>
      <c r="L19" s="13">
        <f>IF(K19=1,COUNTIFS($A$5:A19,A19,$B$5:B19,B19,$K$5:K19,1),0)</f>
        <v>0</v>
      </c>
      <c r="M19" s="13" t="str">
        <f t="shared" si="1"/>
        <v/>
      </c>
      <c r="N19" s="13" t="str">
        <f t="shared" si="2"/>
        <v/>
      </c>
      <c r="O19" s="13" t="str">
        <f>IF(K19=1,INDEX(Exercicios!$B$5:$B$75,MATCH(N19,Exercicios!$I$5:$I$75,0)),"")</f>
        <v/>
      </c>
    </row>
    <row r="20" spans="1:15" x14ac:dyDescent="0.3">
      <c r="A20" s="20">
        <v>3</v>
      </c>
      <c r="B20" s="20">
        <v>2</v>
      </c>
      <c r="C20" s="9" t="s">
        <v>189</v>
      </c>
      <c r="D20" s="9" t="s">
        <v>44</v>
      </c>
      <c r="E20" s="9" t="s">
        <v>185</v>
      </c>
      <c r="F20" s="9" t="s">
        <v>32</v>
      </c>
      <c r="G20" s="9" t="s">
        <v>184</v>
      </c>
      <c r="H20" s="13">
        <f>IF(AND(A20=Gerador!$B$20,MATCH(F20,Niveis!$A$5:$A$7,0)&lt;=MATCH(Gerador!$B$19,Niveis!$A$5:$A$7,0),OR(G20="Todos",G20=Gerador!$B$21)),1,0)</f>
        <v>0</v>
      </c>
      <c r="I20" s="13">
        <f>IF(H20=1,COUNTIFS($D$5:D20,D20,$E$5:E20,E20,$H$5:H20,1),0)</f>
        <v>0</v>
      </c>
      <c r="J20" s="13">
        <f>COUNTIFS(Exercicios!$C$5:$C$75,D20,Exercicios!$F$5:$F$75,E20,Exercicios!$H$5:$H$75,"Sim")</f>
        <v>1</v>
      </c>
      <c r="K20" s="13">
        <f t="shared" si="0"/>
        <v>0</v>
      </c>
      <c r="L20" s="13">
        <f>IF(K20=1,COUNTIFS($A$5:A20,A20,$B$5:B20,B20,$K$5:K20,1),0)</f>
        <v>0</v>
      </c>
      <c r="M20" s="13" t="str">
        <f t="shared" si="1"/>
        <v/>
      </c>
      <c r="N20" s="13" t="str">
        <f t="shared" si="2"/>
        <v/>
      </c>
      <c r="O20" s="13" t="str">
        <f>IF(K20=1,INDEX(Exercicios!$B$5:$B$75,MATCH(N20,Exercicios!$I$5:$I$75,0)),"")</f>
        <v/>
      </c>
    </row>
    <row r="21" spans="1:15" x14ac:dyDescent="0.3">
      <c r="A21" s="20">
        <v>3</v>
      </c>
      <c r="B21" s="20">
        <v>2</v>
      </c>
      <c r="C21" s="9" t="s">
        <v>189</v>
      </c>
      <c r="D21" s="9" t="s">
        <v>42</v>
      </c>
      <c r="E21" s="9" t="s">
        <v>185</v>
      </c>
      <c r="F21" s="9" t="s">
        <v>121</v>
      </c>
      <c r="G21" s="9" t="s">
        <v>184</v>
      </c>
      <c r="H21" s="13">
        <f>IF(AND(A21=Gerador!$B$20,MATCH(F21,Niveis!$A$5:$A$7,0)&lt;=MATCH(Gerador!$B$19,Niveis!$A$5:$A$7,0),OR(G21="Todos",G21=Gerador!$B$21)),1,0)</f>
        <v>0</v>
      </c>
      <c r="I21" s="13">
        <f>IF(H21=1,COUNTIFS($D$5:D21,D21,$E$5:E21,E21,$H$5:H21,1),0)</f>
        <v>0</v>
      </c>
      <c r="J21" s="13">
        <f>COUNTIFS(Exercicios!$C$5:$C$75,D21,Exercicios!$F$5:$F$75,E21,Exercicios!$H$5:$H$75,"Sim")</f>
        <v>3</v>
      </c>
      <c r="K21" s="13">
        <f t="shared" si="0"/>
        <v>0</v>
      </c>
      <c r="L21" s="13">
        <f>IF(K21=1,COUNTIFS($A$5:A21,A21,$B$5:B21,B21,$K$5:K21,1),0)</f>
        <v>0</v>
      </c>
      <c r="M21" s="13" t="str">
        <f t="shared" si="1"/>
        <v/>
      </c>
      <c r="N21" s="13" t="str">
        <f t="shared" si="2"/>
        <v/>
      </c>
      <c r="O21" s="13" t="str">
        <f>IF(K21=1,INDEX(Exercicios!$B$5:$B$75,MATCH(N21,Exercicios!$I$5:$I$75,0)),"")</f>
        <v/>
      </c>
    </row>
    <row r="22" spans="1:15" x14ac:dyDescent="0.3">
      <c r="A22" s="20">
        <v>3</v>
      </c>
      <c r="B22" s="20">
        <v>2</v>
      </c>
      <c r="C22" s="9" t="s">
        <v>189</v>
      </c>
      <c r="D22" s="9" t="s">
        <v>47</v>
      </c>
      <c r="E22" s="9" t="s">
        <v>185</v>
      </c>
      <c r="F22" s="9" t="s">
        <v>121</v>
      </c>
      <c r="G22" s="9" t="s">
        <v>184</v>
      </c>
      <c r="H22" s="13">
        <f>IF(AND(A22=Gerador!$B$20,MATCH(F22,Niveis!$A$5:$A$7,0)&lt;=MATCH(Gerador!$B$19,Niveis!$A$5:$A$7,0),OR(G22="Todos",G22=Gerador!$B$21)),1,0)</f>
        <v>0</v>
      </c>
      <c r="I22" s="13">
        <f>IF(H22=1,COUNTIFS($D$5:D22,D22,$E$5:E22,E22,$H$5:H22,1),0)</f>
        <v>0</v>
      </c>
      <c r="J22" s="13">
        <f>COUNTIFS(Exercicios!$C$5:$C$75,D22,Exercicios!$F$5:$F$75,E22,Exercicios!$H$5:$H$75,"Sim")</f>
        <v>3</v>
      </c>
      <c r="K22" s="13">
        <f t="shared" si="0"/>
        <v>0</v>
      </c>
      <c r="L22" s="13">
        <f>IF(K22=1,COUNTIFS($A$5:A22,A22,$B$5:B22,B22,$K$5:K22,1),0)</f>
        <v>0</v>
      </c>
      <c r="M22" s="13" t="str">
        <f t="shared" si="1"/>
        <v/>
      </c>
      <c r="N22" s="13" t="str">
        <f t="shared" si="2"/>
        <v/>
      </c>
      <c r="O22" s="13" t="str">
        <f>IF(K22=1,INDEX(Exercicios!$B$5:$B$75,MATCH(N22,Exercicios!$I$5:$I$75,0)),"")</f>
        <v/>
      </c>
    </row>
    <row r="23" spans="1:15" x14ac:dyDescent="0.3">
      <c r="A23" s="20">
        <v>3</v>
      </c>
      <c r="B23" s="20">
        <v>3</v>
      </c>
      <c r="C23" s="9" t="s">
        <v>190</v>
      </c>
      <c r="D23" s="9" t="s">
        <v>44</v>
      </c>
      <c r="E23" s="9" t="s">
        <v>183</v>
      </c>
      <c r="F23" s="9" t="s">
        <v>121</v>
      </c>
      <c r="G23" s="9" t="s">
        <v>184</v>
      </c>
      <c r="H23" s="13">
        <f>IF(AND(A23=Gerador!$B$20,MATCH(F23,Niveis!$A$5:$A$7,0)&lt;=MATCH(Gerador!$B$19,Niveis!$A$5:$A$7,0),OR(G23="Todos",G23=Gerador!$B$21)),1,0)</f>
        <v>0</v>
      </c>
      <c r="I23" s="13">
        <f>IF(H23=1,COUNTIFS($D$5:D23,D23,$E$5:E23,E23,$H$5:H23,1),0)</f>
        <v>0</v>
      </c>
      <c r="J23" s="13">
        <f>COUNTIFS(Exercicios!$C$5:$C$75,D23,Exercicios!$F$5:$F$75,E23,Exercicios!$H$5:$H$75,"Sim")</f>
        <v>8</v>
      </c>
      <c r="K23" s="13">
        <f t="shared" si="0"/>
        <v>0</v>
      </c>
      <c r="L23" s="13">
        <f>IF(K23=1,COUNTIFS($A$5:A23,A23,$B$5:B23,B23,$K$5:K23,1),0)</f>
        <v>0</v>
      </c>
      <c r="M23" s="13" t="str">
        <f t="shared" si="1"/>
        <v/>
      </c>
      <c r="N23" s="13" t="str">
        <f t="shared" si="2"/>
        <v/>
      </c>
      <c r="O23" s="13" t="str">
        <f>IF(K23=1,INDEX(Exercicios!$B$5:$B$75,MATCH(N23,Exercicios!$I$5:$I$75,0)),"")</f>
        <v/>
      </c>
    </row>
    <row r="24" spans="1:15" x14ac:dyDescent="0.3">
      <c r="A24" s="20">
        <v>3</v>
      </c>
      <c r="B24" s="20">
        <v>3</v>
      </c>
      <c r="C24" s="9" t="s">
        <v>190</v>
      </c>
      <c r="D24" s="9" t="s">
        <v>34</v>
      </c>
      <c r="E24" s="9" t="s">
        <v>183</v>
      </c>
      <c r="F24" s="9" t="s">
        <v>121</v>
      </c>
      <c r="G24" s="9" t="s">
        <v>184</v>
      </c>
      <c r="H24" s="13">
        <f>IF(AND(A24=Gerador!$B$20,MATCH(F24,Niveis!$A$5:$A$7,0)&lt;=MATCH(Gerador!$B$19,Niveis!$A$5:$A$7,0),OR(G24="Todos",G24=Gerador!$B$21)),1,0)</f>
        <v>0</v>
      </c>
      <c r="I24" s="13">
        <f>IF(H24=1,COUNTIFS($D$5:D24,D24,$E$5:E24,E24,$H$5:H24,1),0)</f>
        <v>0</v>
      </c>
      <c r="J24" s="13">
        <f>COUNTIFS(Exercicios!$C$5:$C$75,D24,Exercicios!$F$5:$F$75,E24,Exercicios!$H$5:$H$75,"Sim")</f>
        <v>3</v>
      </c>
      <c r="K24" s="13">
        <f t="shared" si="0"/>
        <v>0</v>
      </c>
      <c r="L24" s="13">
        <f>IF(K24=1,COUNTIFS($A$5:A24,A24,$B$5:B24,B24,$K$5:K24,1),0)</f>
        <v>0</v>
      </c>
      <c r="M24" s="13" t="str">
        <f t="shared" si="1"/>
        <v/>
      </c>
      <c r="N24" s="13" t="str">
        <f t="shared" si="2"/>
        <v/>
      </c>
      <c r="O24" s="13" t="str">
        <f>IF(K24=1,INDEX(Exercicios!$B$5:$B$75,MATCH(N24,Exercicios!$I$5:$I$75,0)),"")</f>
        <v/>
      </c>
    </row>
    <row r="25" spans="1:15" x14ac:dyDescent="0.3">
      <c r="A25" s="20">
        <v>3</v>
      </c>
      <c r="B25" s="20">
        <v>3</v>
      </c>
      <c r="C25" s="9" t="s">
        <v>190</v>
      </c>
      <c r="D25" s="9" t="s">
        <v>45</v>
      </c>
      <c r="E25" s="9" t="s">
        <v>185</v>
      </c>
      <c r="F25" s="9" t="s">
        <v>121</v>
      </c>
      <c r="G25" s="9" t="s">
        <v>184</v>
      </c>
      <c r="H25" s="13">
        <f>IF(AND(A25=Gerador!$B$20,MATCH(F25,Niveis!$A$5:$A$7,0)&lt;=MATCH(Gerador!$B$19,Niveis!$A$5:$A$7,0),OR(G25="Todos",G25=Gerador!$B$21)),1,0)</f>
        <v>0</v>
      </c>
      <c r="I25" s="13">
        <f>IF(H25=1,COUNTIFS($D$5:D25,D25,$E$5:E25,E25,$H$5:H25,1),0)</f>
        <v>0</v>
      </c>
      <c r="J25" s="13">
        <f>COUNTIFS(Exercicios!$C$5:$C$75,D25,Exercicios!$F$5:$F$75,E25,Exercicios!$H$5:$H$75,"Sim")</f>
        <v>2</v>
      </c>
      <c r="K25" s="13">
        <f t="shared" si="0"/>
        <v>0</v>
      </c>
      <c r="L25" s="13">
        <f>IF(K25=1,COUNTIFS($A$5:A25,A25,$B$5:B25,B25,$K$5:K25,1),0)</f>
        <v>0</v>
      </c>
      <c r="M25" s="13" t="str">
        <f t="shared" si="1"/>
        <v/>
      </c>
      <c r="N25" s="13" t="str">
        <f t="shared" si="2"/>
        <v/>
      </c>
      <c r="O25" s="13" t="str">
        <f>IF(K25=1,INDEX(Exercicios!$B$5:$B$75,MATCH(N25,Exercicios!$I$5:$I$75,0)),"")</f>
        <v/>
      </c>
    </row>
    <row r="26" spans="1:15" x14ac:dyDescent="0.3">
      <c r="A26" s="20">
        <v>3</v>
      </c>
      <c r="B26" s="20">
        <v>3</v>
      </c>
      <c r="C26" s="9" t="s">
        <v>190</v>
      </c>
      <c r="D26" s="9" t="s">
        <v>46</v>
      </c>
      <c r="E26" s="9" t="s">
        <v>183</v>
      </c>
      <c r="F26" s="9" t="s">
        <v>121</v>
      </c>
      <c r="G26" s="9" t="s">
        <v>184</v>
      </c>
      <c r="H26" s="13">
        <f>IF(AND(A26=Gerador!$B$20,MATCH(F26,Niveis!$A$5:$A$7,0)&lt;=MATCH(Gerador!$B$19,Niveis!$A$5:$A$7,0),OR(G26="Todos",G26=Gerador!$B$21)),1,0)</f>
        <v>0</v>
      </c>
      <c r="I26" s="13">
        <f>IF(H26=1,COUNTIFS($D$5:D26,D26,$E$5:E26,E26,$H$5:H26,1),0)</f>
        <v>0</v>
      </c>
      <c r="J26" s="13">
        <f>COUNTIFS(Exercicios!$C$5:$C$75,D26,Exercicios!$F$5:$F$75,E26,Exercicios!$H$5:$H$75,"Sim")</f>
        <v>3</v>
      </c>
      <c r="K26" s="13">
        <f t="shared" si="0"/>
        <v>0</v>
      </c>
      <c r="L26" s="13">
        <f>IF(K26=1,COUNTIFS($A$5:A26,A26,$B$5:B26,B26,$K$5:K26,1),0)</f>
        <v>0</v>
      </c>
      <c r="M26" s="13" t="str">
        <f t="shared" si="1"/>
        <v/>
      </c>
      <c r="N26" s="13" t="str">
        <f t="shared" si="2"/>
        <v/>
      </c>
      <c r="O26" s="13" t="str">
        <f>IF(K26=1,INDEX(Exercicios!$B$5:$B$75,MATCH(N26,Exercicios!$I$5:$I$75,0)),"")</f>
        <v/>
      </c>
    </row>
    <row r="27" spans="1:15" x14ac:dyDescent="0.3">
      <c r="A27" s="20">
        <v>3</v>
      </c>
      <c r="B27" s="20">
        <v>3</v>
      </c>
      <c r="C27" s="9" t="s">
        <v>190</v>
      </c>
      <c r="D27" s="9" t="s">
        <v>45</v>
      </c>
      <c r="E27" s="9" t="s">
        <v>183</v>
      </c>
      <c r="F27" s="9" t="s">
        <v>32</v>
      </c>
      <c r="G27" s="9" t="s">
        <v>184</v>
      </c>
      <c r="H27" s="13">
        <f>IF(AND(A27=Gerador!$B$20,MATCH(F27,Niveis!$A$5:$A$7,0)&lt;=MATCH(Gerador!$B$19,Niveis!$A$5:$A$7,0),OR(G27="Todos",G27=Gerador!$B$21)),1,0)</f>
        <v>0</v>
      </c>
      <c r="I27" s="13">
        <f>IF(H27=1,COUNTIFS($D$5:D27,D27,$E$5:E27,E27,$H$5:H27,1),0)</f>
        <v>0</v>
      </c>
      <c r="J27" s="13">
        <f>COUNTIFS(Exercicios!$C$5:$C$75,D27,Exercicios!$F$5:$F$75,E27,Exercicios!$H$5:$H$75,"Sim")</f>
        <v>4</v>
      </c>
      <c r="K27" s="13">
        <f t="shared" si="0"/>
        <v>0</v>
      </c>
      <c r="L27" s="13">
        <f>IF(K27=1,COUNTIFS($A$5:A27,A27,$B$5:B27,B27,$K$5:K27,1),0)</f>
        <v>0</v>
      </c>
      <c r="M27" s="13" t="str">
        <f t="shared" si="1"/>
        <v/>
      </c>
      <c r="N27" s="13" t="str">
        <f t="shared" si="2"/>
        <v/>
      </c>
      <c r="O27" s="13" t="str">
        <f>IF(K27=1,INDEX(Exercicios!$B$5:$B$75,MATCH(N27,Exercicios!$I$5:$I$75,0)),"")</f>
        <v/>
      </c>
    </row>
    <row r="28" spans="1:15" x14ac:dyDescent="0.3">
      <c r="A28" s="20">
        <v>3</v>
      </c>
      <c r="B28" s="20">
        <v>3</v>
      </c>
      <c r="C28" s="9" t="s">
        <v>190</v>
      </c>
      <c r="D28" s="9" t="s">
        <v>46</v>
      </c>
      <c r="E28" s="9" t="s">
        <v>185</v>
      </c>
      <c r="F28" s="9" t="s">
        <v>32</v>
      </c>
      <c r="G28" s="9" t="s">
        <v>184</v>
      </c>
      <c r="H28" s="13">
        <f>IF(AND(A28=Gerador!$B$20,MATCH(F28,Niveis!$A$5:$A$7,0)&lt;=MATCH(Gerador!$B$19,Niveis!$A$5:$A$7,0),OR(G28="Todos",G28=Gerador!$B$21)),1,0)</f>
        <v>0</v>
      </c>
      <c r="I28" s="13">
        <f>IF(H28=1,COUNTIFS($D$5:D28,D28,$E$5:E28,E28,$H$5:H28,1),0)</f>
        <v>0</v>
      </c>
      <c r="J28" s="13">
        <f>COUNTIFS(Exercicios!$C$5:$C$75,D28,Exercicios!$F$5:$F$75,E28,Exercicios!$H$5:$H$75,"Sim")</f>
        <v>3</v>
      </c>
      <c r="K28" s="13">
        <f t="shared" si="0"/>
        <v>0</v>
      </c>
      <c r="L28" s="13">
        <f>IF(K28=1,COUNTIFS($A$5:A28,A28,$B$5:B28,B28,$K$5:K28,1),0)</f>
        <v>0</v>
      </c>
      <c r="M28" s="13" t="str">
        <f t="shared" si="1"/>
        <v/>
      </c>
      <c r="N28" s="13" t="str">
        <f t="shared" si="2"/>
        <v/>
      </c>
      <c r="O28" s="13" t="str">
        <f>IF(K28=1,INDEX(Exercicios!$B$5:$B$75,MATCH(N28,Exercicios!$I$5:$I$75,0)),"")</f>
        <v/>
      </c>
    </row>
    <row r="29" spans="1:15" x14ac:dyDescent="0.3">
      <c r="A29" s="20">
        <v>3</v>
      </c>
      <c r="B29" s="20">
        <v>3</v>
      </c>
      <c r="C29" s="9" t="s">
        <v>190</v>
      </c>
      <c r="D29" s="9" t="s">
        <v>47</v>
      </c>
      <c r="E29" s="9" t="s">
        <v>185</v>
      </c>
      <c r="F29" s="9" t="s">
        <v>121</v>
      </c>
      <c r="G29" s="9" t="s">
        <v>186</v>
      </c>
      <c r="H29" s="13">
        <f>IF(AND(A29=Gerador!$B$20,MATCH(F29,Niveis!$A$5:$A$7,0)&lt;=MATCH(Gerador!$B$19,Niveis!$A$5:$A$7,0),OR(G29="Todos",G29=Gerador!$B$21)),1,0)</f>
        <v>0</v>
      </c>
      <c r="I29" s="13">
        <f>IF(H29=1,COUNTIFS($D$5:D29,D29,$E$5:E29,E29,$H$5:H29,1),0)</f>
        <v>0</v>
      </c>
      <c r="J29" s="13">
        <f>COUNTIFS(Exercicios!$C$5:$C$75,D29,Exercicios!$F$5:$F$75,E29,Exercicios!$H$5:$H$75,"Sim")</f>
        <v>3</v>
      </c>
      <c r="K29" s="13">
        <f t="shared" si="0"/>
        <v>0</v>
      </c>
      <c r="L29" s="13">
        <f>IF(K29=1,COUNTIFS($A$5:A29,A29,$B$5:B29,B29,$K$5:K29,1),0)</f>
        <v>0</v>
      </c>
      <c r="M29" s="13" t="str">
        <f t="shared" si="1"/>
        <v/>
      </c>
      <c r="N29" s="13" t="str">
        <f t="shared" si="2"/>
        <v/>
      </c>
      <c r="O29" s="13" t="str">
        <f>IF(K29=1,INDEX(Exercicios!$B$5:$B$75,MATCH(N29,Exercicios!$I$5:$I$75,0)),"")</f>
        <v/>
      </c>
    </row>
    <row r="30" spans="1:15" x14ac:dyDescent="0.3">
      <c r="A30" s="20">
        <v>3</v>
      </c>
      <c r="B30" s="20">
        <v>3</v>
      </c>
      <c r="C30" s="9" t="s">
        <v>190</v>
      </c>
      <c r="D30" s="9" t="s">
        <v>46</v>
      </c>
      <c r="E30" s="9" t="s">
        <v>185</v>
      </c>
      <c r="F30" s="9" t="s">
        <v>121</v>
      </c>
      <c r="G30" s="9" t="s">
        <v>187</v>
      </c>
      <c r="H30" s="13">
        <f>IF(AND(A30=Gerador!$B$20,MATCH(F30,Niveis!$A$5:$A$7,0)&lt;=MATCH(Gerador!$B$19,Niveis!$A$5:$A$7,0),OR(G30="Todos",G30=Gerador!$B$21)),1,0)</f>
        <v>0</v>
      </c>
      <c r="I30" s="13">
        <f>IF(H30=1,COUNTIFS($D$5:D30,D30,$E$5:E30,E30,$H$5:H30,1),0)</f>
        <v>0</v>
      </c>
      <c r="J30" s="13">
        <f>COUNTIFS(Exercicios!$C$5:$C$75,D30,Exercicios!$F$5:$F$75,E30,Exercicios!$H$5:$H$75,"Sim")</f>
        <v>3</v>
      </c>
      <c r="K30" s="13">
        <f t="shared" si="0"/>
        <v>0</v>
      </c>
      <c r="L30" s="13">
        <f>IF(K30=1,COUNTIFS($A$5:A30,A30,$B$5:B30,B30,$K$5:K30,1),0)</f>
        <v>0</v>
      </c>
      <c r="M30" s="13" t="str">
        <f t="shared" si="1"/>
        <v/>
      </c>
      <c r="N30" s="13" t="str">
        <f t="shared" si="2"/>
        <v/>
      </c>
      <c r="O30" s="13" t="str">
        <f>IF(K30=1,INDEX(Exercicios!$B$5:$B$75,MATCH(N30,Exercicios!$I$5:$I$75,0)),"")</f>
        <v/>
      </c>
    </row>
    <row r="31" spans="1:15" x14ac:dyDescent="0.3">
      <c r="A31" s="20">
        <v>3</v>
      </c>
      <c r="B31" s="20">
        <v>3</v>
      </c>
      <c r="C31" s="9" t="s">
        <v>190</v>
      </c>
      <c r="D31" s="9" t="s">
        <v>48</v>
      </c>
      <c r="E31" s="9" t="s">
        <v>185</v>
      </c>
      <c r="F31" s="9" t="s">
        <v>121</v>
      </c>
      <c r="G31" s="9" t="s">
        <v>188</v>
      </c>
      <c r="H31" s="13">
        <f>IF(AND(A31=Gerador!$B$20,MATCH(F31,Niveis!$A$5:$A$7,0)&lt;=MATCH(Gerador!$B$19,Niveis!$A$5:$A$7,0),OR(G31="Todos",G31=Gerador!$B$21)),1,0)</f>
        <v>0</v>
      </c>
      <c r="I31" s="13">
        <f>IF(H31=1,COUNTIFS($D$5:D31,D31,$E$5:E31,E31,$H$5:H31,1),0)</f>
        <v>0</v>
      </c>
      <c r="J31" s="13">
        <f>COUNTIFS(Exercicios!$C$5:$C$75,D31,Exercicios!$F$5:$F$75,E31,Exercicios!$H$5:$H$75,"Sim")</f>
        <v>6</v>
      </c>
      <c r="K31" s="13">
        <f t="shared" si="0"/>
        <v>0</v>
      </c>
      <c r="L31" s="13">
        <f>IF(K31=1,COUNTIFS($A$5:A31,A31,$B$5:B31,B31,$K$5:K31,1),0)</f>
        <v>0</v>
      </c>
      <c r="M31" s="13" t="str">
        <f t="shared" si="1"/>
        <v/>
      </c>
      <c r="N31" s="13" t="str">
        <f t="shared" si="2"/>
        <v/>
      </c>
      <c r="O31" s="13" t="str">
        <f>IF(K31=1,INDEX(Exercicios!$B$5:$B$75,MATCH(N31,Exercicios!$I$5:$I$75,0)),"")</f>
        <v/>
      </c>
    </row>
    <row r="32" spans="1:15" x14ac:dyDescent="0.3">
      <c r="A32" s="20">
        <v>3</v>
      </c>
      <c r="B32" s="20">
        <v>3</v>
      </c>
      <c r="C32" s="9" t="s">
        <v>190</v>
      </c>
      <c r="D32" s="9" t="s">
        <v>39</v>
      </c>
      <c r="E32" s="9" t="s">
        <v>185</v>
      </c>
      <c r="F32" s="9" t="s">
        <v>121</v>
      </c>
      <c r="G32" s="9" t="s">
        <v>184</v>
      </c>
      <c r="H32" s="13">
        <f>IF(AND(A32=Gerador!$B$20,MATCH(F32,Niveis!$A$5:$A$7,0)&lt;=MATCH(Gerador!$B$19,Niveis!$A$5:$A$7,0),OR(G32="Todos",G32=Gerador!$B$21)),1,0)</f>
        <v>0</v>
      </c>
      <c r="I32" s="13">
        <f>IF(H32=1,COUNTIFS($D$5:D32,D32,$E$5:E32,E32,$H$5:H32,1),0)</f>
        <v>0</v>
      </c>
      <c r="J32" s="13">
        <f>COUNTIFS(Exercicios!$C$5:$C$75,D32,Exercicios!$F$5:$F$75,E32,Exercicios!$H$5:$H$75,"Sim")</f>
        <v>5</v>
      </c>
      <c r="K32" s="13">
        <f t="shared" si="0"/>
        <v>0</v>
      </c>
      <c r="L32" s="13">
        <f>IF(K32=1,COUNTIFS($A$5:A32,A32,$B$5:B32,B32,$K$5:K32,1),0)</f>
        <v>0</v>
      </c>
      <c r="M32" s="13" t="str">
        <f t="shared" si="1"/>
        <v/>
      </c>
      <c r="N32" s="13" t="str">
        <f t="shared" si="2"/>
        <v/>
      </c>
      <c r="O32" s="13" t="str">
        <f>IF(K32=1,INDEX(Exercicios!$B$5:$B$75,MATCH(N32,Exercicios!$I$5:$I$75,0)),"")</f>
        <v/>
      </c>
    </row>
    <row r="33" spans="1:15" x14ac:dyDescent="0.3">
      <c r="A33" s="20">
        <v>4</v>
      </c>
      <c r="B33" s="20">
        <v>1</v>
      </c>
      <c r="C33" s="9" t="s">
        <v>191</v>
      </c>
      <c r="D33" s="9" t="s">
        <v>29</v>
      </c>
      <c r="E33" s="9" t="s">
        <v>183</v>
      </c>
      <c r="F33" s="9" t="s">
        <v>32</v>
      </c>
      <c r="G33" s="9" t="s">
        <v>184</v>
      </c>
      <c r="H33" s="13">
        <f>IF(AND(A33=Gerador!$B$20,MATCH(F33,Niveis!$A$5:$A$7,0)&lt;=MATCH(Gerador!$B$19,Niveis!$A$5:$A$7,0),OR(G33="Todos",G33=Gerador!$B$21)),1,0)</f>
        <v>0</v>
      </c>
      <c r="I33" s="13">
        <f>IF(H33=1,COUNTIFS($D$5:D33,D33,$E$5:E33,E33,$H$5:H33,1),0)</f>
        <v>0</v>
      </c>
      <c r="J33" s="13">
        <f>COUNTIFS(Exercicios!$C$5:$C$75,D33,Exercicios!$F$5:$F$75,E33,Exercicios!$H$5:$H$75,"Sim")</f>
        <v>7</v>
      </c>
      <c r="K33" s="13">
        <f t="shared" si="0"/>
        <v>0</v>
      </c>
      <c r="L33" s="13">
        <f>IF(K33=1,COUNTIFS($A$5:A33,A33,$B$5:B33,B33,$K$5:K33,1),0)</f>
        <v>0</v>
      </c>
      <c r="M33" s="13" t="str">
        <f t="shared" si="1"/>
        <v/>
      </c>
      <c r="N33" s="13" t="str">
        <f t="shared" si="2"/>
        <v/>
      </c>
      <c r="O33" s="13" t="str">
        <f>IF(K33=1,INDEX(Exercicios!$B$5:$B$75,MATCH(N33,Exercicios!$I$5:$I$75,0)),"")</f>
        <v/>
      </c>
    </row>
    <row r="34" spans="1:15" x14ac:dyDescent="0.3">
      <c r="A34" s="20">
        <v>4</v>
      </c>
      <c r="B34" s="20">
        <v>1</v>
      </c>
      <c r="C34" s="9" t="s">
        <v>191</v>
      </c>
      <c r="D34" s="9" t="s">
        <v>33</v>
      </c>
      <c r="E34" s="9" t="s">
        <v>183</v>
      </c>
      <c r="F34" s="9" t="s">
        <v>32</v>
      </c>
      <c r="G34" s="9" t="s">
        <v>184</v>
      </c>
      <c r="H34" s="13">
        <f>IF(AND(A34=Gerador!$B$20,MATCH(F34,Niveis!$A$5:$A$7,0)&lt;=MATCH(Gerador!$B$19,Niveis!$A$5:$A$7,0),OR(G34="Todos",G34=Gerador!$B$21)),1,0)</f>
        <v>0</v>
      </c>
      <c r="I34" s="13">
        <f>IF(H34=1,COUNTIFS($D$5:D34,D34,$E$5:E34,E34,$H$5:H34,1),0)</f>
        <v>0</v>
      </c>
      <c r="J34" s="13">
        <f>COUNTIFS(Exercicios!$C$5:$C$75,D34,Exercicios!$F$5:$F$75,E34,Exercicios!$H$5:$H$75,"Sim")</f>
        <v>8</v>
      </c>
      <c r="K34" s="13">
        <f t="shared" si="0"/>
        <v>0</v>
      </c>
      <c r="L34" s="13">
        <f>IF(K34=1,COUNTIFS($A$5:A34,A34,$B$5:B34,B34,$K$5:K34,1),0)</f>
        <v>0</v>
      </c>
      <c r="M34" s="13" t="str">
        <f t="shared" si="1"/>
        <v/>
      </c>
      <c r="N34" s="13" t="str">
        <f t="shared" si="2"/>
        <v/>
      </c>
      <c r="O34" s="13" t="str">
        <f>IF(K34=1,INDEX(Exercicios!$B$5:$B$75,MATCH(N34,Exercicios!$I$5:$I$75,0)),"")</f>
        <v/>
      </c>
    </row>
    <row r="35" spans="1:15" x14ac:dyDescent="0.3">
      <c r="A35" s="20">
        <v>4</v>
      </c>
      <c r="B35" s="20">
        <v>1</v>
      </c>
      <c r="C35" s="9" t="s">
        <v>191</v>
      </c>
      <c r="D35" s="9" t="s">
        <v>34</v>
      </c>
      <c r="E35" s="9" t="s">
        <v>183</v>
      </c>
      <c r="F35" s="9" t="s">
        <v>32</v>
      </c>
      <c r="G35" s="9" t="s">
        <v>184</v>
      </c>
      <c r="H35" s="13">
        <f>IF(AND(A35=Gerador!$B$20,MATCH(F35,Niveis!$A$5:$A$7,0)&lt;=MATCH(Gerador!$B$19,Niveis!$A$5:$A$7,0),OR(G35="Todos",G35=Gerador!$B$21)),1,0)</f>
        <v>0</v>
      </c>
      <c r="I35" s="13">
        <f>IF(H35=1,COUNTIFS($D$5:D35,D35,$E$5:E35,E35,$H$5:H35,1),0)</f>
        <v>0</v>
      </c>
      <c r="J35" s="13">
        <f>COUNTIFS(Exercicios!$C$5:$C$75,D35,Exercicios!$F$5:$F$75,E35,Exercicios!$H$5:$H$75,"Sim")</f>
        <v>3</v>
      </c>
      <c r="K35" s="13">
        <f t="shared" si="0"/>
        <v>0</v>
      </c>
      <c r="L35" s="13">
        <f>IF(K35=1,COUNTIFS($A$5:A35,A35,$B$5:B35,B35,$K$5:K35,1),0)</f>
        <v>0</v>
      </c>
      <c r="M35" s="13" t="str">
        <f t="shared" si="1"/>
        <v/>
      </c>
      <c r="N35" s="13" t="str">
        <f t="shared" si="2"/>
        <v/>
      </c>
      <c r="O35" s="13" t="str">
        <f>IF(K35=1,INDEX(Exercicios!$B$5:$B$75,MATCH(N35,Exercicios!$I$5:$I$75,0)),"")</f>
        <v/>
      </c>
    </row>
    <row r="36" spans="1:15" x14ac:dyDescent="0.3">
      <c r="A36" s="20">
        <v>4</v>
      </c>
      <c r="B36" s="20">
        <v>1</v>
      </c>
      <c r="C36" s="9" t="s">
        <v>191</v>
      </c>
      <c r="D36" s="9" t="s">
        <v>29</v>
      </c>
      <c r="E36" s="9" t="s">
        <v>185</v>
      </c>
      <c r="F36" s="9" t="s">
        <v>32</v>
      </c>
      <c r="G36" s="9" t="s">
        <v>184</v>
      </c>
      <c r="H36" s="13">
        <f>IF(AND(A36=Gerador!$B$20,MATCH(F36,Niveis!$A$5:$A$7,0)&lt;=MATCH(Gerador!$B$19,Niveis!$A$5:$A$7,0),OR(G36="Todos",G36=Gerador!$B$21)),1,0)</f>
        <v>0</v>
      </c>
      <c r="I36" s="13">
        <f>IF(H36=1,COUNTIFS($D$5:D36,D36,$E$5:E36,E36,$H$5:H36,1),0)</f>
        <v>0</v>
      </c>
      <c r="J36" s="13">
        <f>COUNTIFS(Exercicios!$C$5:$C$75,D36,Exercicios!$F$5:$F$75,E36,Exercicios!$H$5:$H$75,"Sim")</f>
        <v>3</v>
      </c>
      <c r="K36" s="13">
        <f t="shared" si="0"/>
        <v>0</v>
      </c>
      <c r="L36" s="13">
        <f>IF(K36=1,COUNTIFS($A$5:A36,A36,$B$5:B36,B36,$K$5:K36,1),0)</f>
        <v>0</v>
      </c>
      <c r="M36" s="13" t="str">
        <f t="shared" si="1"/>
        <v/>
      </c>
      <c r="N36" s="13" t="str">
        <f t="shared" si="2"/>
        <v/>
      </c>
      <c r="O36" s="13" t="str">
        <f>IF(K36=1,INDEX(Exercicios!$B$5:$B$75,MATCH(N36,Exercicios!$I$5:$I$75,0)),"")</f>
        <v/>
      </c>
    </row>
    <row r="37" spans="1:15" x14ac:dyDescent="0.3">
      <c r="A37" s="20">
        <v>4</v>
      </c>
      <c r="B37" s="20">
        <v>1</v>
      </c>
      <c r="C37" s="9" t="s">
        <v>191</v>
      </c>
      <c r="D37" s="9" t="s">
        <v>33</v>
      </c>
      <c r="E37" s="9" t="s">
        <v>183</v>
      </c>
      <c r="F37" s="9" t="s">
        <v>32</v>
      </c>
      <c r="G37" s="9" t="s">
        <v>184</v>
      </c>
      <c r="H37" s="13">
        <f>IF(AND(A37=Gerador!$B$20,MATCH(F37,Niveis!$A$5:$A$7,0)&lt;=MATCH(Gerador!$B$19,Niveis!$A$5:$A$7,0),OR(G37="Todos",G37=Gerador!$B$21)),1,0)</f>
        <v>0</v>
      </c>
      <c r="I37" s="13">
        <f>IF(H37=1,COUNTIFS($D$5:D37,D37,$E$5:E37,E37,$H$5:H37,1),0)</f>
        <v>0</v>
      </c>
      <c r="J37" s="13">
        <f>COUNTIFS(Exercicios!$C$5:$C$75,D37,Exercicios!$F$5:$F$75,E37,Exercicios!$H$5:$H$75,"Sim")</f>
        <v>8</v>
      </c>
      <c r="K37" s="13">
        <f t="shared" ref="K37:K68" si="3">IF(AND(H37=1,I37&lt;=J37),1,0)</f>
        <v>0</v>
      </c>
      <c r="L37" s="13">
        <f>IF(K37=1,COUNTIFS($A$5:A37,A37,$B$5:B37,B37,$K$5:K37,1),0)</f>
        <v>0</v>
      </c>
      <c r="M37" s="13" t="str">
        <f t="shared" ref="M37:M68" si="4">IF(K37=1,A37&amp;"-"&amp;B37&amp;"-"&amp;L37,"")</f>
        <v/>
      </c>
      <c r="N37" s="13" t="str">
        <f t="shared" ref="N37:N68" si="5">IF(K37=1,D37&amp;"-"&amp;E37&amp;"-"&amp;I37,"")</f>
        <v/>
      </c>
      <c r="O37" s="13" t="str">
        <f>IF(K37=1,INDEX(Exercicios!$B$5:$B$75,MATCH(N37,Exercicios!$I$5:$I$75,0)),"")</f>
        <v/>
      </c>
    </row>
    <row r="38" spans="1:15" x14ac:dyDescent="0.3">
      <c r="A38" s="20">
        <v>4</v>
      </c>
      <c r="B38" s="20">
        <v>1</v>
      </c>
      <c r="C38" s="9" t="s">
        <v>191</v>
      </c>
      <c r="D38" s="9" t="s">
        <v>39</v>
      </c>
      <c r="E38" s="9" t="s">
        <v>185</v>
      </c>
      <c r="F38" s="9" t="s">
        <v>32</v>
      </c>
      <c r="G38" s="9" t="s">
        <v>184</v>
      </c>
      <c r="H38" s="13">
        <f>IF(AND(A38=Gerador!$B$20,MATCH(F38,Niveis!$A$5:$A$7,0)&lt;=MATCH(Gerador!$B$19,Niveis!$A$5:$A$7,0),OR(G38="Todos",G38=Gerador!$B$21)),1,0)</f>
        <v>0</v>
      </c>
      <c r="I38" s="13">
        <f>IF(H38=1,COUNTIFS($D$5:D38,D38,$E$5:E38,E38,$H$5:H38,1),0)</f>
        <v>0</v>
      </c>
      <c r="J38" s="13">
        <f>COUNTIFS(Exercicios!$C$5:$C$75,D38,Exercicios!$F$5:$F$75,E38,Exercicios!$H$5:$H$75,"Sim")</f>
        <v>5</v>
      </c>
      <c r="K38" s="13">
        <f t="shared" si="3"/>
        <v>0</v>
      </c>
      <c r="L38" s="13">
        <f>IF(K38=1,COUNTIFS($A$5:A38,A38,$B$5:B38,B38,$K$5:K38,1),0)</f>
        <v>0</v>
      </c>
      <c r="M38" s="13" t="str">
        <f t="shared" si="4"/>
        <v/>
      </c>
      <c r="N38" s="13" t="str">
        <f t="shared" si="5"/>
        <v/>
      </c>
      <c r="O38" s="13" t="str">
        <f>IF(K38=1,INDEX(Exercicios!$B$5:$B$75,MATCH(N38,Exercicios!$I$5:$I$75,0)),"")</f>
        <v/>
      </c>
    </row>
    <row r="39" spans="1:15" x14ac:dyDescent="0.3">
      <c r="A39" s="20">
        <v>4</v>
      </c>
      <c r="B39" s="20">
        <v>1</v>
      </c>
      <c r="C39" s="9" t="s">
        <v>191</v>
      </c>
      <c r="D39" s="9" t="s">
        <v>42</v>
      </c>
      <c r="E39" s="9" t="s">
        <v>185</v>
      </c>
      <c r="F39" s="9" t="s">
        <v>32</v>
      </c>
      <c r="G39" s="9" t="s">
        <v>184</v>
      </c>
      <c r="H39" s="13">
        <f>IF(AND(A39=Gerador!$B$20,MATCH(F39,Niveis!$A$5:$A$7,0)&lt;=MATCH(Gerador!$B$19,Niveis!$A$5:$A$7,0),OR(G39="Todos",G39=Gerador!$B$21)),1,0)</f>
        <v>0</v>
      </c>
      <c r="I39" s="13">
        <f>IF(H39=1,COUNTIFS($D$5:D39,D39,$E$5:E39,E39,$H$5:H39,1),0)</f>
        <v>0</v>
      </c>
      <c r="J39" s="13">
        <f>COUNTIFS(Exercicios!$C$5:$C$75,D39,Exercicios!$F$5:$F$75,E39,Exercicios!$H$5:$H$75,"Sim")</f>
        <v>3</v>
      </c>
      <c r="K39" s="13">
        <f t="shared" si="3"/>
        <v>0</v>
      </c>
      <c r="L39" s="13">
        <f>IF(K39=1,COUNTIFS($A$5:A39,A39,$B$5:B39,B39,$K$5:K39,1),0)</f>
        <v>0</v>
      </c>
      <c r="M39" s="13" t="str">
        <f t="shared" si="4"/>
        <v/>
      </c>
      <c r="N39" s="13" t="str">
        <f t="shared" si="5"/>
        <v/>
      </c>
      <c r="O39" s="13" t="str">
        <f>IF(K39=1,INDEX(Exercicios!$B$5:$B$75,MATCH(N39,Exercicios!$I$5:$I$75,0)),"")</f>
        <v/>
      </c>
    </row>
    <row r="40" spans="1:15" x14ac:dyDescent="0.3">
      <c r="A40" s="20">
        <v>4</v>
      </c>
      <c r="B40" s="20">
        <v>2</v>
      </c>
      <c r="C40" s="9" t="s">
        <v>192</v>
      </c>
      <c r="D40" s="9" t="s">
        <v>44</v>
      </c>
      <c r="E40" s="9" t="s">
        <v>183</v>
      </c>
      <c r="F40" s="9" t="s">
        <v>32</v>
      </c>
      <c r="G40" s="9" t="s">
        <v>184</v>
      </c>
      <c r="H40" s="13">
        <f>IF(AND(A40=Gerador!$B$20,MATCH(F40,Niveis!$A$5:$A$7,0)&lt;=MATCH(Gerador!$B$19,Niveis!$A$5:$A$7,0),OR(G40="Todos",G40=Gerador!$B$21)),1,0)</f>
        <v>0</v>
      </c>
      <c r="I40" s="13">
        <f>IF(H40=1,COUNTIFS($D$5:D40,D40,$E$5:E40,E40,$H$5:H40,1),0)</f>
        <v>0</v>
      </c>
      <c r="J40" s="13">
        <f>COUNTIFS(Exercicios!$C$5:$C$75,D40,Exercicios!$F$5:$F$75,E40,Exercicios!$H$5:$H$75,"Sim")</f>
        <v>8</v>
      </c>
      <c r="K40" s="13">
        <f t="shared" si="3"/>
        <v>0</v>
      </c>
      <c r="L40" s="13">
        <f>IF(K40=1,COUNTIFS($A$5:A40,A40,$B$5:B40,B40,$K$5:K40,1),0)</f>
        <v>0</v>
      </c>
      <c r="M40" s="13" t="str">
        <f t="shared" si="4"/>
        <v/>
      </c>
      <c r="N40" s="13" t="str">
        <f t="shared" si="5"/>
        <v/>
      </c>
      <c r="O40" s="13" t="str">
        <f>IF(K40=1,INDEX(Exercicios!$B$5:$B$75,MATCH(N40,Exercicios!$I$5:$I$75,0)),"")</f>
        <v/>
      </c>
    </row>
    <row r="41" spans="1:15" x14ac:dyDescent="0.3">
      <c r="A41" s="20">
        <v>4</v>
      </c>
      <c r="B41" s="20">
        <v>2</v>
      </c>
      <c r="C41" s="9" t="s">
        <v>192</v>
      </c>
      <c r="D41" s="9" t="s">
        <v>45</v>
      </c>
      <c r="E41" s="9" t="s">
        <v>183</v>
      </c>
      <c r="F41" s="9" t="s">
        <v>32</v>
      </c>
      <c r="G41" s="9" t="s">
        <v>184</v>
      </c>
      <c r="H41" s="13">
        <f>IF(AND(A41=Gerador!$B$20,MATCH(F41,Niveis!$A$5:$A$7,0)&lt;=MATCH(Gerador!$B$19,Niveis!$A$5:$A$7,0),OR(G41="Todos",G41=Gerador!$B$21)),1,0)</f>
        <v>0</v>
      </c>
      <c r="I41" s="13">
        <f>IF(H41=1,COUNTIFS($D$5:D41,D41,$E$5:E41,E41,$H$5:H41,1),0)</f>
        <v>0</v>
      </c>
      <c r="J41" s="13">
        <f>COUNTIFS(Exercicios!$C$5:$C$75,D41,Exercicios!$F$5:$F$75,E41,Exercicios!$H$5:$H$75,"Sim")</f>
        <v>4</v>
      </c>
      <c r="K41" s="13">
        <f t="shared" si="3"/>
        <v>0</v>
      </c>
      <c r="L41" s="13">
        <f>IF(K41=1,COUNTIFS($A$5:A41,A41,$B$5:B41,B41,$K$5:K41,1),0)</f>
        <v>0</v>
      </c>
      <c r="M41" s="13" t="str">
        <f t="shared" si="4"/>
        <v/>
      </c>
      <c r="N41" s="13" t="str">
        <f t="shared" si="5"/>
        <v/>
      </c>
      <c r="O41" s="13" t="str">
        <f>IF(K41=1,INDEX(Exercicios!$B$5:$B$75,MATCH(N41,Exercicios!$I$5:$I$75,0)),"")</f>
        <v/>
      </c>
    </row>
    <row r="42" spans="1:15" x14ac:dyDescent="0.3">
      <c r="A42" s="20">
        <v>4</v>
      </c>
      <c r="B42" s="20">
        <v>2</v>
      </c>
      <c r="C42" s="9" t="s">
        <v>192</v>
      </c>
      <c r="D42" s="9" t="s">
        <v>46</v>
      </c>
      <c r="E42" s="9" t="s">
        <v>183</v>
      </c>
      <c r="F42" s="9" t="s">
        <v>32</v>
      </c>
      <c r="G42" s="9" t="s">
        <v>184</v>
      </c>
      <c r="H42" s="13">
        <f>IF(AND(A42=Gerador!$B$20,MATCH(F42,Niveis!$A$5:$A$7,0)&lt;=MATCH(Gerador!$B$19,Niveis!$A$5:$A$7,0),OR(G42="Todos",G42=Gerador!$B$21)),1,0)</f>
        <v>0</v>
      </c>
      <c r="I42" s="13">
        <f>IF(H42=1,COUNTIFS($D$5:D42,D42,$E$5:E42,E42,$H$5:H42,1),0)</f>
        <v>0</v>
      </c>
      <c r="J42" s="13">
        <f>COUNTIFS(Exercicios!$C$5:$C$75,D42,Exercicios!$F$5:$F$75,E42,Exercicios!$H$5:$H$75,"Sim")</f>
        <v>3</v>
      </c>
      <c r="K42" s="13">
        <f t="shared" si="3"/>
        <v>0</v>
      </c>
      <c r="L42" s="13">
        <f>IF(K42=1,COUNTIFS($A$5:A42,A42,$B$5:B42,B42,$K$5:K42,1),0)</f>
        <v>0</v>
      </c>
      <c r="M42" s="13" t="str">
        <f t="shared" si="4"/>
        <v/>
      </c>
      <c r="N42" s="13" t="str">
        <f t="shared" si="5"/>
        <v/>
      </c>
      <c r="O42" s="13" t="str">
        <f>IF(K42=1,INDEX(Exercicios!$B$5:$B$75,MATCH(N42,Exercicios!$I$5:$I$75,0)),"")</f>
        <v/>
      </c>
    </row>
    <row r="43" spans="1:15" x14ac:dyDescent="0.3">
      <c r="A43" s="20">
        <v>4</v>
      </c>
      <c r="B43" s="20">
        <v>2</v>
      </c>
      <c r="C43" s="9" t="s">
        <v>192</v>
      </c>
      <c r="D43" s="9" t="s">
        <v>44</v>
      </c>
      <c r="E43" s="9" t="s">
        <v>185</v>
      </c>
      <c r="F43" s="9" t="s">
        <v>32</v>
      </c>
      <c r="G43" s="9" t="s">
        <v>184</v>
      </c>
      <c r="H43" s="13">
        <f>IF(AND(A43=Gerador!$B$20,MATCH(F43,Niveis!$A$5:$A$7,0)&lt;=MATCH(Gerador!$B$19,Niveis!$A$5:$A$7,0),OR(G43="Todos",G43=Gerador!$B$21)),1,0)</f>
        <v>0</v>
      </c>
      <c r="I43" s="13">
        <f>IF(H43=1,COUNTIFS($D$5:D43,D43,$E$5:E43,E43,$H$5:H43,1),0)</f>
        <v>0</v>
      </c>
      <c r="J43" s="13">
        <f>COUNTIFS(Exercicios!$C$5:$C$75,D43,Exercicios!$F$5:$F$75,E43,Exercicios!$H$5:$H$75,"Sim")</f>
        <v>1</v>
      </c>
      <c r="K43" s="13">
        <f t="shared" si="3"/>
        <v>0</v>
      </c>
      <c r="L43" s="13">
        <f>IF(K43=1,COUNTIFS($A$5:A43,A43,$B$5:B43,B43,$K$5:K43,1),0)</f>
        <v>0</v>
      </c>
      <c r="M43" s="13" t="str">
        <f t="shared" si="4"/>
        <v/>
      </c>
      <c r="N43" s="13" t="str">
        <f t="shared" si="5"/>
        <v/>
      </c>
      <c r="O43" s="13" t="str">
        <f>IF(K43=1,INDEX(Exercicios!$B$5:$B$75,MATCH(N43,Exercicios!$I$5:$I$75,0)),"")</f>
        <v/>
      </c>
    </row>
    <row r="44" spans="1:15" x14ac:dyDescent="0.3">
      <c r="A44" s="20">
        <v>4</v>
      </c>
      <c r="B44" s="20">
        <v>2</v>
      </c>
      <c r="C44" s="9" t="s">
        <v>192</v>
      </c>
      <c r="D44" s="9" t="s">
        <v>47</v>
      </c>
      <c r="E44" s="9" t="s">
        <v>185</v>
      </c>
      <c r="F44" s="9" t="s">
        <v>32</v>
      </c>
      <c r="G44" s="9" t="s">
        <v>184</v>
      </c>
      <c r="H44" s="13">
        <f>IF(AND(A44=Gerador!$B$20,MATCH(F44,Niveis!$A$5:$A$7,0)&lt;=MATCH(Gerador!$B$19,Niveis!$A$5:$A$7,0),OR(G44="Todos",G44=Gerador!$B$21)),1,0)</f>
        <v>0</v>
      </c>
      <c r="I44" s="13">
        <f>IF(H44=1,COUNTIFS($D$5:D44,D44,$E$5:E44,E44,$H$5:H44,1),0)</f>
        <v>0</v>
      </c>
      <c r="J44" s="13">
        <f>COUNTIFS(Exercicios!$C$5:$C$75,D44,Exercicios!$F$5:$F$75,E44,Exercicios!$H$5:$H$75,"Sim")</f>
        <v>3</v>
      </c>
      <c r="K44" s="13">
        <f t="shared" si="3"/>
        <v>0</v>
      </c>
      <c r="L44" s="13">
        <f>IF(K44=1,COUNTIFS($A$5:A44,A44,$B$5:B44,B44,$K$5:K44,1),0)</f>
        <v>0</v>
      </c>
      <c r="M44" s="13" t="str">
        <f t="shared" si="4"/>
        <v/>
      </c>
      <c r="N44" s="13" t="str">
        <f t="shared" si="5"/>
        <v/>
      </c>
      <c r="O44" s="13" t="str">
        <f>IF(K44=1,INDEX(Exercicios!$B$5:$B$75,MATCH(N44,Exercicios!$I$5:$I$75,0)),"")</f>
        <v/>
      </c>
    </row>
    <row r="45" spans="1:15" x14ac:dyDescent="0.3">
      <c r="A45" s="20">
        <v>4</v>
      </c>
      <c r="B45" s="20">
        <v>2</v>
      </c>
      <c r="C45" s="9" t="s">
        <v>192</v>
      </c>
      <c r="D45" s="9" t="s">
        <v>48</v>
      </c>
      <c r="E45" s="9" t="s">
        <v>185</v>
      </c>
      <c r="F45" s="9" t="s">
        <v>32</v>
      </c>
      <c r="G45" s="9" t="s">
        <v>184</v>
      </c>
      <c r="H45" s="13">
        <f>IF(AND(A45=Gerador!$B$20,MATCH(F45,Niveis!$A$5:$A$7,0)&lt;=MATCH(Gerador!$B$19,Niveis!$A$5:$A$7,0),OR(G45="Todos",G45=Gerador!$B$21)),1,0)</f>
        <v>0</v>
      </c>
      <c r="I45" s="13">
        <f>IF(H45=1,COUNTIFS($D$5:D45,D45,$E$5:E45,E45,$H$5:H45,1),0)</f>
        <v>0</v>
      </c>
      <c r="J45" s="13">
        <f>COUNTIFS(Exercicios!$C$5:$C$75,D45,Exercicios!$F$5:$F$75,E45,Exercicios!$H$5:$H$75,"Sim")</f>
        <v>6</v>
      </c>
      <c r="K45" s="13">
        <f t="shared" si="3"/>
        <v>0</v>
      </c>
      <c r="L45" s="13">
        <f>IF(K45=1,COUNTIFS($A$5:A45,A45,$B$5:B45,B45,$K$5:K45,1),0)</f>
        <v>0</v>
      </c>
      <c r="M45" s="13" t="str">
        <f t="shared" si="4"/>
        <v/>
      </c>
      <c r="N45" s="13" t="str">
        <f t="shared" si="5"/>
        <v/>
      </c>
      <c r="O45" s="13" t="str">
        <f>IF(K45=1,INDEX(Exercicios!$B$5:$B$75,MATCH(N45,Exercicios!$I$5:$I$75,0)),"")</f>
        <v/>
      </c>
    </row>
    <row r="46" spans="1:15" x14ac:dyDescent="0.3">
      <c r="A46" s="20">
        <v>4</v>
      </c>
      <c r="B46" s="20">
        <v>3</v>
      </c>
      <c r="C46" s="9" t="s">
        <v>193</v>
      </c>
      <c r="D46" s="9" t="s">
        <v>33</v>
      </c>
      <c r="E46" s="9" t="s">
        <v>183</v>
      </c>
      <c r="F46" s="9" t="s">
        <v>32</v>
      </c>
      <c r="G46" s="9" t="s">
        <v>184</v>
      </c>
      <c r="H46" s="13">
        <f>IF(AND(A46=Gerador!$B$20,MATCH(F46,Niveis!$A$5:$A$7,0)&lt;=MATCH(Gerador!$B$19,Niveis!$A$5:$A$7,0),OR(G46="Todos",G46=Gerador!$B$21)),1,0)</f>
        <v>0</v>
      </c>
      <c r="I46" s="13">
        <f>IF(H46=1,COUNTIFS($D$5:D46,D46,$E$5:E46,E46,$H$5:H46,1),0)</f>
        <v>0</v>
      </c>
      <c r="J46" s="13">
        <f>COUNTIFS(Exercicios!$C$5:$C$75,D46,Exercicios!$F$5:$F$75,E46,Exercicios!$H$5:$H$75,"Sim")</f>
        <v>8</v>
      </c>
      <c r="K46" s="13">
        <f t="shared" si="3"/>
        <v>0</v>
      </c>
      <c r="L46" s="13">
        <f>IF(K46=1,COUNTIFS($A$5:A46,A46,$B$5:B46,B46,$K$5:K46,1),0)</f>
        <v>0</v>
      </c>
      <c r="M46" s="13" t="str">
        <f t="shared" si="4"/>
        <v/>
      </c>
      <c r="N46" s="13" t="str">
        <f t="shared" si="5"/>
        <v/>
      </c>
      <c r="O46" s="13" t="str">
        <f>IF(K46=1,INDEX(Exercicios!$B$5:$B$75,MATCH(N46,Exercicios!$I$5:$I$75,0)),"")</f>
        <v/>
      </c>
    </row>
    <row r="47" spans="1:15" x14ac:dyDescent="0.3">
      <c r="A47" s="20">
        <v>4</v>
      </c>
      <c r="B47" s="20">
        <v>3</v>
      </c>
      <c r="C47" s="9" t="s">
        <v>193</v>
      </c>
      <c r="D47" s="9" t="s">
        <v>29</v>
      </c>
      <c r="E47" s="9" t="s">
        <v>183</v>
      </c>
      <c r="F47" s="9" t="s">
        <v>32</v>
      </c>
      <c r="G47" s="9" t="s">
        <v>184</v>
      </c>
      <c r="H47" s="13">
        <f>IF(AND(A47=Gerador!$B$20,MATCH(F47,Niveis!$A$5:$A$7,0)&lt;=MATCH(Gerador!$B$19,Niveis!$A$5:$A$7,0),OR(G47="Todos",G47=Gerador!$B$21)),1,0)</f>
        <v>0</v>
      </c>
      <c r="I47" s="13">
        <f>IF(H47=1,COUNTIFS($D$5:D47,D47,$E$5:E47,E47,$H$5:H47,1),0)</f>
        <v>0</v>
      </c>
      <c r="J47" s="13">
        <f>COUNTIFS(Exercicios!$C$5:$C$75,D47,Exercicios!$F$5:$F$75,E47,Exercicios!$H$5:$H$75,"Sim")</f>
        <v>7</v>
      </c>
      <c r="K47" s="13">
        <f t="shared" si="3"/>
        <v>0</v>
      </c>
      <c r="L47" s="13">
        <f>IF(K47=1,COUNTIFS($A$5:A47,A47,$B$5:B47,B47,$K$5:K47,1),0)</f>
        <v>0</v>
      </c>
      <c r="M47" s="13" t="str">
        <f t="shared" si="4"/>
        <v/>
      </c>
      <c r="N47" s="13" t="str">
        <f t="shared" si="5"/>
        <v/>
      </c>
      <c r="O47" s="13" t="str">
        <f>IF(K47=1,INDEX(Exercicios!$B$5:$B$75,MATCH(N47,Exercicios!$I$5:$I$75,0)),"")</f>
        <v/>
      </c>
    </row>
    <row r="48" spans="1:15" x14ac:dyDescent="0.3">
      <c r="A48" s="20">
        <v>4</v>
      </c>
      <c r="B48" s="20">
        <v>3</v>
      </c>
      <c r="C48" s="9" t="s">
        <v>193</v>
      </c>
      <c r="D48" s="9" t="s">
        <v>34</v>
      </c>
      <c r="E48" s="9" t="s">
        <v>185</v>
      </c>
      <c r="F48" s="9" t="s">
        <v>32</v>
      </c>
      <c r="G48" s="9" t="s">
        <v>184</v>
      </c>
      <c r="H48" s="13">
        <f>IF(AND(A48=Gerador!$B$20,MATCH(F48,Niveis!$A$5:$A$7,0)&lt;=MATCH(Gerador!$B$19,Niveis!$A$5:$A$7,0),OR(G48="Todos",G48=Gerador!$B$21)),1,0)</f>
        <v>0</v>
      </c>
      <c r="I48" s="13">
        <f>IF(H48=1,COUNTIFS($D$5:D48,D48,$E$5:E48,E48,$H$5:H48,1),0)</f>
        <v>0</v>
      </c>
      <c r="J48" s="13">
        <f>COUNTIFS(Exercicios!$C$5:$C$75,D48,Exercicios!$F$5:$F$75,E48,Exercicios!$H$5:$H$75,"Sim")</f>
        <v>5</v>
      </c>
      <c r="K48" s="13">
        <f t="shared" si="3"/>
        <v>0</v>
      </c>
      <c r="L48" s="13">
        <f>IF(K48=1,COUNTIFS($A$5:A48,A48,$B$5:B48,B48,$K$5:K48,1),0)</f>
        <v>0</v>
      </c>
      <c r="M48" s="13" t="str">
        <f t="shared" si="4"/>
        <v/>
      </c>
      <c r="N48" s="13" t="str">
        <f t="shared" si="5"/>
        <v/>
      </c>
      <c r="O48" s="13" t="str">
        <f>IF(K48=1,INDEX(Exercicios!$B$5:$B$75,MATCH(N48,Exercicios!$I$5:$I$75,0)),"")</f>
        <v/>
      </c>
    </row>
    <row r="49" spans="1:15" x14ac:dyDescent="0.3">
      <c r="A49" s="20">
        <v>4</v>
      </c>
      <c r="B49" s="20">
        <v>3</v>
      </c>
      <c r="C49" s="9" t="s">
        <v>193</v>
      </c>
      <c r="D49" s="9" t="s">
        <v>34</v>
      </c>
      <c r="E49" s="9" t="s">
        <v>185</v>
      </c>
      <c r="F49" s="9" t="s">
        <v>32</v>
      </c>
      <c r="G49" s="9" t="s">
        <v>184</v>
      </c>
      <c r="H49" s="13">
        <f>IF(AND(A49=Gerador!$B$20,MATCH(F49,Niveis!$A$5:$A$7,0)&lt;=MATCH(Gerador!$B$19,Niveis!$A$5:$A$7,0),OR(G49="Todos",G49=Gerador!$B$21)),1,0)</f>
        <v>0</v>
      </c>
      <c r="I49" s="13">
        <f>IF(H49=1,COUNTIFS($D$5:D49,D49,$E$5:E49,E49,$H$5:H49,1),0)</f>
        <v>0</v>
      </c>
      <c r="J49" s="13">
        <f>COUNTIFS(Exercicios!$C$5:$C$75,D49,Exercicios!$F$5:$F$75,E49,Exercicios!$H$5:$H$75,"Sim")</f>
        <v>5</v>
      </c>
      <c r="K49" s="13">
        <f t="shared" si="3"/>
        <v>0</v>
      </c>
      <c r="L49" s="13">
        <f>IF(K49=1,COUNTIFS($A$5:A49,A49,$B$5:B49,B49,$K$5:K49,1),0)</f>
        <v>0</v>
      </c>
      <c r="M49" s="13" t="str">
        <f t="shared" si="4"/>
        <v/>
      </c>
      <c r="N49" s="13" t="str">
        <f t="shared" si="5"/>
        <v/>
      </c>
      <c r="O49" s="13" t="str">
        <f>IF(K49=1,INDEX(Exercicios!$B$5:$B$75,MATCH(N49,Exercicios!$I$5:$I$75,0)),"")</f>
        <v/>
      </c>
    </row>
    <row r="50" spans="1:15" x14ac:dyDescent="0.3">
      <c r="A50" s="20">
        <v>4</v>
      </c>
      <c r="B50" s="20">
        <v>3</v>
      </c>
      <c r="C50" s="9" t="s">
        <v>193</v>
      </c>
      <c r="D50" s="9" t="s">
        <v>39</v>
      </c>
      <c r="E50" s="9" t="s">
        <v>185</v>
      </c>
      <c r="F50" s="9" t="s">
        <v>32</v>
      </c>
      <c r="G50" s="9" t="s">
        <v>184</v>
      </c>
      <c r="H50" s="13">
        <f>IF(AND(A50=Gerador!$B$20,MATCH(F50,Niveis!$A$5:$A$7,0)&lt;=MATCH(Gerador!$B$19,Niveis!$A$5:$A$7,0),OR(G50="Todos",G50=Gerador!$B$21)),1,0)</f>
        <v>0</v>
      </c>
      <c r="I50" s="13">
        <f>IF(H50=1,COUNTIFS($D$5:D50,D50,$E$5:E50,E50,$H$5:H50,1),0)</f>
        <v>0</v>
      </c>
      <c r="J50" s="13">
        <f>COUNTIFS(Exercicios!$C$5:$C$75,D50,Exercicios!$F$5:$F$75,E50,Exercicios!$H$5:$H$75,"Sim")</f>
        <v>5</v>
      </c>
      <c r="K50" s="13">
        <f t="shared" si="3"/>
        <v>0</v>
      </c>
      <c r="L50" s="13">
        <f>IF(K50=1,COUNTIFS($A$5:A50,A50,$B$5:B50,B50,$K$5:K50,1),0)</f>
        <v>0</v>
      </c>
      <c r="M50" s="13" t="str">
        <f t="shared" si="4"/>
        <v/>
      </c>
      <c r="N50" s="13" t="str">
        <f t="shared" si="5"/>
        <v/>
      </c>
      <c r="O50" s="13" t="str">
        <f>IF(K50=1,INDEX(Exercicios!$B$5:$B$75,MATCH(N50,Exercicios!$I$5:$I$75,0)),"")</f>
        <v/>
      </c>
    </row>
    <row r="51" spans="1:15" x14ac:dyDescent="0.3">
      <c r="A51" s="20">
        <v>4</v>
      </c>
      <c r="B51" s="20">
        <v>3</v>
      </c>
      <c r="C51" s="9" t="s">
        <v>193</v>
      </c>
      <c r="D51" s="9" t="s">
        <v>29</v>
      </c>
      <c r="E51" s="9" t="s">
        <v>185</v>
      </c>
      <c r="F51" s="9" t="s">
        <v>32</v>
      </c>
      <c r="G51" s="9" t="s">
        <v>186</v>
      </c>
      <c r="H51" s="13">
        <f>IF(AND(A51=Gerador!$B$20,MATCH(F51,Niveis!$A$5:$A$7,0)&lt;=MATCH(Gerador!$B$19,Niveis!$A$5:$A$7,0),OR(G51="Todos",G51=Gerador!$B$21)),1,0)</f>
        <v>0</v>
      </c>
      <c r="I51" s="13">
        <f>IF(H51=1,COUNTIFS($D$5:D51,D51,$E$5:E51,E51,$H$5:H51,1),0)</f>
        <v>0</v>
      </c>
      <c r="J51" s="13">
        <f>COUNTIFS(Exercicios!$C$5:$C$75,D51,Exercicios!$F$5:$F$75,E51,Exercicios!$H$5:$H$75,"Sim")</f>
        <v>3</v>
      </c>
      <c r="K51" s="13">
        <f t="shared" si="3"/>
        <v>0</v>
      </c>
      <c r="L51" s="13">
        <f>IF(K51=1,COUNTIFS($A$5:A51,A51,$B$5:B51,B51,$K$5:K51,1),0)</f>
        <v>0</v>
      </c>
      <c r="M51" s="13" t="str">
        <f t="shared" si="4"/>
        <v/>
      </c>
      <c r="N51" s="13" t="str">
        <f t="shared" si="5"/>
        <v/>
      </c>
      <c r="O51" s="13" t="str">
        <f>IF(K51=1,INDEX(Exercicios!$B$5:$B$75,MATCH(N51,Exercicios!$I$5:$I$75,0)),"")</f>
        <v/>
      </c>
    </row>
    <row r="52" spans="1:15" x14ac:dyDescent="0.3">
      <c r="A52" s="20">
        <v>4</v>
      </c>
      <c r="B52" s="20">
        <v>3</v>
      </c>
      <c r="C52" s="9" t="s">
        <v>193</v>
      </c>
      <c r="D52" s="9" t="s">
        <v>34</v>
      </c>
      <c r="E52" s="9" t="s">
        <v>185</v>
      </c>
      <c r="F52" s="9" t="s">
        <v>32</v>
      </c>
      <c r="G52" s="9" t="s">
        <v>187</v>
      </c>
      <c r="H52" s="13">
        <f>IF(AND(A52=Gerador!$B$20,MATCH(F52,Niveis!$A$5:$A$7,0)&lt;=MATCH(Gerador!$B$19,Niveis!$A$5:$A$7,0),OR(G52="Todos",G52=Gerador!$B$21)),1,0)</f>
        <v>0</v>
      </c>
      <c r="I52" s="13">
        <f>IF(H52=1,COUNTIFS($D$5:D52,D52,$E$5:E52,E52,$H$5:H52,1),0)</f>
        <v>0</v>
      </c>
      <c r="J52" s="13">
        <f>COUNTIFS(Exercicios!$C$5:$C$75,D52,Exercicios!$F$5:$F$75,E52,Exercicios!$H$5:$H$75,"Sim")</f>
        <v>5</v>
      </c>
      <c r="K52" s="13">
        <f t="shared" si="3"/>
        <v>0</v>
      </c>
      <c r="L52" s="13">
        <f>IF(K52=1,COUNTIFS($A$5:A52,A52,$B$5:B52,B52,$K$5:K52,1),0)</f>
        <v>0</v>
      </c>
      <c r="M52" s="13" t="str">
        <f t="shared" si="4"/>
        <v/>
      </c>
      <c r="N52" s="13" t="str">
        <f t="shared" si="5"/>
        <v/>
      </c>
      <c r="O52" s="13" t="str">
        <f>IF(K52=1,INDEX(Exercicios!$B$5:$B$75,MATCH(N52,Exercicios!$I$5:$I$75,0)),"")</f>
        <v/>
      </c>
    </row>
    <row r="53" spans="1:15" x14ac:dyDescent="0.3">
      <c r="A53" s="20">
        <v>4</v>
      </c>
      <c r="B53" s="20">
        <v>3</v>
      </c>
      <c r="C53" s="9" t="s">
        <v>193</v>
      </c>
      <c r="D53" s="9" t="s">
        <v>42</v>
      </c>
      <c r="E53" s="9" t="s">
        <v>185</v>
      </c>
      <c r="F53" s="9" t="s">
        <v>32</v>
      </c>
      <c r="G53" s="9" t="s">
        <v>188</v>
      </c>
      <c r="H53" s="13">
        <f>IF(AND(A53=Gerador!$B$20,MATCH(F53,Niveis!$A$5:$A$7,0)&lt;=MATCH(Gerador!$B$19,Niveis!$A$5:$A$7,0),OR(G53="Todos",G53=Gerador!$B$21)),1,0)</f>
        <v>0</v>
      </c>
      <c r="I53" s="13">
        <f>IF(H53=1,COUNTIFS($D$5:D53,D53,$E$5:E53,E53,$H$5:H53,1),0)</f>
        <v>0</v>
      </c>
      <c r="J53" s="13">
        <f>COUNTIFS(Exercicios!$C$5:$C$75,D53,Exercicios!$F$5:$F$75,E53,Exercicios!$H$5:$H$75,"Sim")</f>
        <v>3</v>
      </c>
      <c r="K53" s="13">
        <f t="shared" si="3"/>
        <v>0</v>
      </c>
      <c r="L53" s="13">
        <f>IF(K53=1,COUNTIFS($A$5:A53,A53,$B$5:B53,B53,$K$5:K53,1),0)</f>
        <v>0</v>
      </c>
      <c r="M53" s="13" t="str">
        <f t="shared" si="4"/>
        <v/>
      </c>
      <c r="N53" s="13" t="str">
        <f t="shared" si="5"/>
        <v/>
      </c>
      <c r="O53" s="13" t="str">
        <f>IF(K53=1,INDEX(Exercicios!$B$5:$B$75,MATCH(N53,Exercicios!$I$5:$I$75,0)),"")</f>
        <v/>
      </c>
    </row>
    <row r="54" spans="1:15" x14ac:dyDescent="0.3">
      <c r="A54" s="20">
        <v>4</v>
      </c>
      <c r="B54" s="20">
        <v>4</v>
      </c>
      <c r="C54" s="9" t="s">
        <v>194</v>
      </c>
      <c r="D54" s="9" t="s">
        <v>44</v>
      </c>
      <c r="E54" s="9" t="s">
        <v>183</v>
      </c>
      <c r="F54" s="9" t="s">
        <v>32</v>
      </c>
      <c r="G54" s="9" t="s">
        <v>184</v>
      </c>
      <c r="H54" s="13">
        <f>IF(AND(A54=Gerador!$B$20,MATCH(F54,Niveis!$A$5:$A$7,0)&lt;=MATCH(Gerador!$B$19,Niveis!$A$5:$A$7,0),OR(G54="Todos",G54=Gerador!$B$21)),1,0)</f>
        <v>0</v>
      </c>
      <c r="I54" s="13">
        <f>IF(H54=1,COUNTIFS($D$5:D54,D54,$E$5:E54,E54,$H$5:H54,1),0)</f>
        <v>0</v>
      </c>
      <c r="J54" s="13">
        <f>COUNTIFS(Exercicios!$C$5:$C$75,D54,Exercicios!$F$5:$F$75,E54,Exercicios!$H$5:$H$75,"Sim")</f>
        <v>8</v>
      </c>
      <c r="K54" s="13">
        <f t="shared" si="3"/>
        <v>0</v>
      </c>
      <c r="L54" s="13">
        <f>IF(K54=1,COUNTIFS($A$5:A54,A54,$B$5:B54,B54,$K$5:K54,1),0)</f>
        <v>0</v>
      </c>
      <c r="M54" s="13" t="str">
        <f t="shared" si="4"/>
        <v/>
      </c>
      <c r="N54" s="13" t="str">
        <f t="shared" si="5"/>
        <v/>
      </c>
      <c r="O54" s="13" t="str">
        <f>IF(K54=1,INDEX(Exercicios!$B$5:$B$75,MATCH(N54,Exercicios!$I$5:$I$75,0)),"")</f>
        <v/>
      </c>
    </row>
    <row r="55" spans="1:15" x14ac:dyDescent="0.3">
      <c r="A55" s="20">
        <v>4</v>
      </c>
      <c r="B55" s="20">
        <v>4</v>
      </c>
      <c r="C55" s="9" t="s">
        <v>194</v>
      </c>
      <c r="D55" s="9" t="s">
        <v>45</v>
      </c>
      <c r="E55" s="9" t="s">
        <v>183</v>
      </c>
      <c r="F55" s="9" t="s">
        <v>32</v>
      </c>
      <c r="G55" s="9" t="s">
        <v>184</v>
      </c>
      <c r="H55" s="13">
        <f>IF(AND(A55=Gerador!$B$20,MATCH(F55,Niveis!$A$5:$A$7,0)&lt;=MATCH(Gerador!$B$19,Niveis!$A$5:$A$7,0),OR(G55="Todos",G55=Gerador!$B$21)),1,0)</f>
        <v>0</v>
      </c>
      <c r="I55" s="13">
        <f>IF(H55=1,COUNTIFS($D$5:D55,D55,$E$5:E55,E55,$H$5:H55,1),0)</f>
        <v>0</v>
      </c>
      <c r="J55" s="13">
        <f>COUNTIFS(Exercicios!$C$5:$C$75,D55,Exercicios!$F$5:$F$75,E55,Exercicios!$H$5:$H$75,"Sim")</f>
        <v>4</v>
      </c>
      <c r="K55" s="13">
        <f t="shared" si="3"/>
        <v>0</v>
      </c>
      <c r="L55" s="13">
        <f>IF(K55=1,COUNTIFS($A$5:A55,A55,$B$5:B55,B55,$K$5:K55,1),0)</f>
        <v>0</v>
      </c>
      <c r="M55" s="13" t="str">
        <f t="shared" si="4"/>
        <v/>
      </c>
      <c r="N55" s="13" t="str">
        <f t="shared" si="5"/>
        <v/>
      </c>
      <c r="O55" s="13" t="str">
        <f>IF(K55=1,INDEX(Exercicios!$B$5:$B$75,MATCH(N55,Exercicios!$I$5:$I$75,0)),"")</f>
        <v/>
      </c>
    </row>
    <row r="56" spans="1:15" x14ac:dyDescent="0.3">
      <c r="A56" s="20">
        <v>4</v>
      </c>
      <c r="B56" s="20">
        <v>4</v>
      </c>
      <c r="C56" s="9" t="s">
        <v>194</v>
      </c>
      <c r="D56" s="9" t="s">
        <v>46</v>
      </c>
      <c r="E56" s="9" t="s">
        <v>183</v>
      </c>
      <c r="F56" s="9" t="s">
        <v>32</v>
      </c>
      <c r="G56" s="9" t="s">
        <v>184</v>
      </c>
      <c r="H56" s="13">
        <f>IF(AND(A56=Gerador!$B$20,MATCH(F56,Niveis!$A$5:$A$7,0)&lt;=MATCH(Gerador!$B$19,Niveis!$A$5:$A$7,0),OR(G56="Todos",G56=Gerador!$B$21)),1,0)</f>
        <v>0</v>
      </c>
      <c r="I56" s="13">
        <f>IF(H56=1,COUNTIFS($D$5:D56,D56,$E$5:E56,E56,$H$5:H56,1),0)</f>
        <v>0</v>
      </c>
      <c r="J56" s="13">
        <f>COUNTIFS(Exercicios!$C$5:$C$75,D56,Exercicios!$F$5:$F$75,E56,Exercicios!$H$5:$H$75,"Sim")</f>
        <v>3</v>
      </c>
      <c r="K56" s="13">
        <f t="shared" si="3"/>
        <v>0</v>
      </c>
      <c r="L56" s="13">
        <f>IF(K56=1,COUNTIFS($A$5:A56,A56,$B$5:B56,B56,$K$5:K56,1),0)</f>
        <v>0</v>
      </c>
      <c r="M56" s="13" t="str">
        <f t="shared" si="4"/>
        <v/>
      </c>
      <c r="N56" s="13" t="str">
        <f t="shared" si="5"/>
        <v/>
      </c>
      <c r="O56" s="13" t="str">
        <f>IF(K56=1,INDEX(Exercicios!$B$5:$B$75,MATCH(N56,Exercicios!$I$5:$I$75,0)),"")</f>
        <v/>
      </c>
    </row>
    <row r="57" spans="1:15" x14ac:dyDescent="0.3">
      <c r="A57" s="20">
        <v>4</v>
      </c>
      <c r="B57" s="20">
        <v>4</v>
      </c>
      <c r="C57" s="9" t="s">
        <v>194</v>
      </c>
      <c r="D57" s="9" t="s">
        <v>45</v>
      </c>
      <c r="E57" s="9" t="s">
        <v>185</v>
      </c>
      <c r="F57" s="9" t="s">
        <v>32</v>
      </c>
      <c r="G57" s="9" t="s">
        <v>184</v>
      </c>
      <c r="H57" s="13">
        <f>IF(AND(A57=Gerador!$B$20,MATCH(F57,Niveis!$A$5:$A$7,0)&lt;=MATCH(Gerador!$B$19,Niveis!$A$5:$A$7,0),OR(G57="Todos",G57=Gerador!$B$21)),1,0)</f>
        <v>0</v>
      </c>
      <c r="I57" s="13">
        <f>IF(H57=1,COUNTIFS($D$5:D57,D57,$E$5:E57,E57,$H$5:H57,1),0)</f>
        <v>0</v>
      </c>
      <c r="J57" s="13">
        <f>COUNTIFS(Exercicios!$C$5:$C$75,D57,Exercicios!$F$5:$F$75,E57,Exercicios!$H$5:$H$75,"Sim")</f>
        <v>2</v>
      </c>
      <c r="K57" s="13">
        <f t="shared" si="3"/>
        <v>0</v>
      </c>
      <c r="L57" s="13">
        <f>IF(K57=1,COUNTIFS($A$5:A57,A57,$B$5:B57,B57,$K$5:K57,1),0)</f>
        <v>0</v>
      </c>
      <c r="M57" s="13" t="str">
        <f t="shared" si="4"/>
        <v/>
      </c>
      <c r="N57" s="13" t="str">
        <f t="shared" si="5"/>
        <v/>
      </c>
      <c r="O57" s="13" t="str">
        <f>IF(K57=1,INDEX(Exercicios!$B$5:$B$75,MATCH(N57,Exercicios!$I$5:$I$75,0)),"")</f>
        <v/>
      </c>
    </row>
    <row r="58" spans="1:15" x14ac:dyDescent="0.3">
      <c r="A58" s="20">
        <v>4</v>
      </c>
      <c r="B58" s="20">
        <v>4</v>
      </c>
      <c r="C58" s="9" t="s">
        <v>194</v>
      </c>
      <c r="D58" s="9" t="s">
        <v>46</v>
      </c>
      <c r="E58" s="9" t="s">
        <v>185</v>
      </c>
      <c r="F58" s="9" t="s">
        <v>32</v>
      </c>
      <c r="G58" s="9" t="s">
        <v>184</v>
      </c>
      <c r="H58" s="13">
        <f>IF(AND(A58=Gerador!$B$20,MATCH(F58,Niveis!$A$5:$A$7,0)&lt;=MATCH(Gerador!$B$19,Niveis!$A$5:$A$7,0),OR(G58="Todos",G58=Gerador!$B$21)),1,0)</f>
        <v>0</v>
      </c>
      <c r="I58" s="13">
        <f>IF(H58=1,COUNTIFS($D$5:D58,D58,$E$5:E58,E58,$H$5:H58,1),0)</f>
        <v>0</v>
      </c>
      <c r="J58" s="13">
        <f>COUNTIFS(Exercicios!$C$5:$C$75,D58,Exercicios!$F$5:$F$75,E58,Exercicios!$H$5:$H$75,"Sim")</f>
        <v>3</v>
      </c>
      <c r="K58" s="13">
        <f t="shared" si="3"/>
        <v>0</v>
      </c>
      <c r="L58" s="13">
        <f>IF(K58=1,COUNTIFS($A$5:A58,A58,$B$5:B58,B58,$K$5:K58,1),0)</f>
        <v>0</v>
      </c>
      <c r="M58" s="13" t="str">
        <f t="shared" si="4"/>
        <v/>
      </c>
      <c r="N58" s="13" t="str">
        <f t="shared" si="5"/>
        <v/>
      </c>
      <c r="O58" s="13" t="str">
        <f>IF(K58=1,INDEX(Exercicios!$B$5:$B$75,MATCH(N58,Exercicios!$I$5:$I$75,0)),"")</f>
        <v/>
      </c>
    </row>
    <row r="59" spans="1:15" x14ac:dyDescent="0.3">
      <c r="A59" s="20">
        <v>4</v>
      </c>
      <c r="B59" s="20">
        <v>4</v>
      </c>
      <c r="C59" s="9" t="s">
        <v>194</v>
      </c>
      <c r="D59" s="9" t="s">
        <v>47</v>
      </c>
      <c r="E59" s="9" t="s">
        <v>185</v>
      </c>
      <c r="F59" s="9" t="s">
        <v>32</v>
      </c>
      <c r="G59" s="9" t="s">
        <v>184</v>
      </c>
      <c r="H59" s="13">
        <f>IF(AND(A59=Gerador!$B$20,MATCH(F59,Niveis!$A$5:$A$7,0)&lt;=MATCH(Gerador!$B$19,Niveis!$A$5:$A$7,0),OR(G59="Todos",G59=Gerador!$B$21)),1,0)</f>
        <v>0</v>
      </c>
      <c r="I59" s="13">
        <f>IF(H59=1,COUNTIFS($D$5:D59,D59,$E$5:E59,E59,$H$5:H59,1),0)</f>
        <v>0</v>
      </c>
      <c r="J59" s="13">
        <f>COUNTIFS(Exercicios!$C$5:$C$75,D59,Exercicios!$F$5:$F$75,E59,Exercicios!$H$5:$H$75,"Sim")</f>
        <v>3</v>
      </c>
      <c r="K59" s="13">
        <f t="shared" si="3"/>
        <v>0</v>
      </c>
      <c r="L59" s="13">
        <f>IF(K59=1,COUNTIFS($A$5:A59,A59,$B$5:B59,B59,$K$5:K59,1),0)</f>
        <v>0</v>
      </c>
      <c r="M59" s="13" t="str">
        <f t="shared" si="4"/>
        <v/>
      </c>
      <c r="N59" s="13" t="str">
        <f t="shared" si="5"/>
        <v/>
      </c>
      <c r="O59" s="13" t="str">
        <f>IF(K59=1,INDEX(Exercicios!$B$5:$B$75,MATCH(N59,Exercicios!$I$5:$I$75,0)),"")</f>
        <v/>
      </c>
    </row>
    <row r="60" spans="1:15" x14ac:dyDescent="0.3">
      <c r="A60" s="20">
        <v>4</v>
      </c>
      <c r="B60" s="20">
        <v>4</v>
      </c>
      <c r="C60" s="9" t="s">
        <v>194</v>
      </c>
      <c r="D60" s="9" t="s">
        <v>47</v>
      </c>
      <c r="E60" s="9" t="s">
        <v>185</v>
      </c>
      <c r="F60" s="9" t="s">
        <v>32</v>
      </c>
      <c r="G60" s="9" t="s">
        <v>186</v>
      </c>
      <c r="H60" s="13">
        <f>IF(AND(A60=Gerador!$B$20,MATCH(F60,Niveis!$A$5:$A$7,0)&lt;=MATCH(Gerador!$B$19,Niveis!$A$5:$A$7,0),OR(G60="Todos",G60=Gerador!$B$21)),1,0)</f>
        <v>0</v>
      </c>
      <c r="I60" s="13">
        <f>IF(H60=1,COUNTIFS($D$5:D60,D60,$E$5:E60,E60,$H$5:H60,1),0)</f>
        <v>0</v>
      </c>
      <c r="J60" s="13">
        <f>COUNTIFS(Exercicios!$C$5:$C$75,D60,Exercicios!$F$5:$F$75,E60,Exercicios!$H$5:$H$75,"Sim")</f>
        <v>3</v>
      </c>
      <c r="K60" s="13">
        <f t="shared" si="3"/>
        <v>0</v>
      </c>
      <c r="L60" s="13">
        <f>IF(K60=1,COUNTIFS($A$5:A60,A60,$B$5:B60,B60,$K$5:K60,1),0)</f>
        <v>0</v>
      </c>
      <c r="M60" s="13" t="str">
        <f t="shared" si="4"/>
        <v/>
      </c>
      <c r="N60" s="13" t="str">
        <f t="shared" si="5"/>
        <v/>
      </c>
      <c r="O60" s="13" t="str">
        <f>IF(K60=1,INDEX(Exercicios!$B$5:$B$75,MATCH(N60,Exercicios!$I$5:$I$75,0)),"")</f>
        <v/>
      </c>
    </row>
    <row r="61" spans="1:15" x14ac:dyDescent="0.3">
      <c r="A61" s="20">
        <v>4</v>
      </c>
      <c r="B61" s="20">
        <v>4</v>
      </c>
      <c r="C61" s="9" t="s">
        <v>194</v>
      </c>
      <c r="D61" s="9" t="s">
        <v>46</v>
      </c>
      <c r="E61" s="9" t="s">
        <v>185</v>
      </c>
      <c r="F61" s="9" t="s">
        <v>32</v>
      </c>
      <c r="G61" s="9" t="s">
        <v>187</v>
      </c>
      <c r="H61" s="13">
        <f>IF(AND(A61=Gerador!$B$20,MATCH(F61,Niveis!$A$5:$A$7,0)&lt;=MATCH(Gerador!$B$19,Niveis!$A$5:$A$7,0),OR(G61="Todos",G61=Gerador!$B$21)),1,0)</f>
        <v>0</v>
      </c>
      <c r="I61" s="13">
        <f>IF(H61=1,COUNTIFS($D$5:D61,D61,$E$5:E61,E61,$H$5:H61,1),0)</f>
        <v>0</v>
      </c>
      <c r="J61" s="13">
        <f>COUNTIFS(Exercicios!$C$5:$C$75,D61,Exercicios!$F$5:$F$75,E61,Exercicios!$H$5:$H$75,"Sim")</f>
        <v>3</v>
      </c>
      <c r="K61" s="13">
        <f t="shared" si="3"/>
        <v>0</v>
      </c>
      <c r="L61" s="13">
        <f>IF(K61=1,COUNTIFS($A$5:A61,A61,$B$5:B61,B61,$K$5:K61,1),0)</f>
        <v>0</v>
      </c>
      <c r="M61" s="13" t="str">
        <f t="shared" si="4"/>
        <v/>
      </c>
      <c r="N61" s="13" t="str">
        <f t="shared" si="5"/>
        <v/>
      </c>
      <c r="O61" s="13" t="str">
        <f>IF(K61=1,INDEX(Exercicios!$B$5:$B$75,MATCH(N61,Exercicios!$I$5:$I$75,0)),"")</f>
        <v/>
      </c>
    </row>
    <row r="62" spans="1:15" x14ac:dyDescent="0.3">
      <c r="A62" s="20">
        <v>4</v>
      </c>
      <c r="B62" s="20">
        <v>4</v>
      </c>
      <c r="C62" s="9" t="s">
        <v>194</v>
      </c>
      <c r="D62" s="9" t="s">
        <v>48</v>
      </c>
      <c r="E62" s="9" t="s">
        <v>185</v>
      </c>
      <c r="F62" s="9" t="s">
        <v>32</v>
      </c>
      <c r="G62" s="9" t="s">
        <v>188</v>
      </c>
      <c r="H62" s="13">
        <f>IF(AND(A62=Gerador!$B$20,MATCH(F62,Niveis!$A$5:$A$7,0)&lt;=MATCH(Gerador!$B$19,Niveis!$A$5:$A$7,0),OR(G62="Todos",G62=Gerador!$B$21)),1,0)</f>
        <v>0</v>
      </c>
      <c r="I62" s="13">
        <f>IF(H62=1,COUNTIFS($D$5:D62,D62,$E$5:E62,E62,$H$5:H62,1),0)</f>
        <v>0</v>
      </c>
      <c r="J62" s="13">
        <f>COUNTIFS(Exercicios!$C$5:$C$75,D62,Exercicios!$F$5:$F$75,E62,Exercicios!$H$5:$H$75,"Sim")</f>
        <v>6</v>
      </c>
      <c r="K62" s="13">
        <f t="shared" si="3"/>
        <v>0</v>
      </c>
      <c r="L62" s="13">
        <f>IF(K62=1,COUNTIFS($A$5:A62,A62,$B$5:B62,B62,$K$5:K62,1),0)</f>
        <v>0</v>
      </c>
      <c r="M62" s="13" t="str">
        <f t="shared" si="4"/>
        <v/>
      </c>
      <c r="N62" s="13" t="str">
        <f t="shared" si="5"/>
        <v/>
      </c>
      <c r="O62" s="13" t="str">
        <f>IF(K62=1,INDEX(Exercicios!$B$5:$B$75,MATCH(N62,Exercicios!$I$5:$I$75,0)),"")</f>
        <v/>
      </c>
    </row>
    <row r="63" spans="1:15" x14ac:dyDescent="0.3">
      <c r="A63" s="20">
        <v>5</v>
      </c>
      <c r="B63" s="20">
        <v>1</v>
      </c>
      <c r="C63" s="9" t="s">
        <v>195</v>
      </c>
      <c r="D63" s="9" t="s">
        <v>29</v>
      </c>
      <c r="E63" s="9" t="s">
        <v>183</v>
      </c>
      <c r="F63" s="9" t="s">
        <v>126</v>
      </c>
      <c r="G63" s="9" t="s">
        <v>184</v>
      </c>
      <c r="H63" s="13">
        <f>IF(AND(A63=Gerador!$B$20,MATCH(F63,Niveis!$A$5:$A$7,0)&lt;=MATCH(Gerador!$B$19,Niveis!$A$5:$A$7,0),OR(G63="Todos",G63=Gerador!$B$21)),1,0)</f>
        <v>1</v>
      </c>
      <c r="I63" s="13">
        <f>IF(H63=1,COUNTIFS($D$5:D63,D63,$E$5:E63,E63,$H$5:H63,1),0)</f>
        <v>1</v>
      </c>
      <c r="J63" s="13">
        <f>COUNTIFS(Exercicios!$C$5:$C$75,D63,Exercicios!$F$5:$F$75,E63,Exercicios!$H$5:$H$75,"Sim")</f>
        <v>7</v>
      </c>
      <c r="K63" s="13">
        <f t="shared" si="3"/>
        <v>1</v>
      </c>
      <c r="L63" s="13">
        <f>IF(K63=1,COUNTIFS($A$5:A63,A63,$B$5:B63,B63,$K$5:K63,1),0)</f>
        <v>1</v>
      </c>
      <c r="M63" s="13" t="str">
        <f t="shared" si="4"/>
        <v>5-1-1</v>
      </c>
      <c r="N63" s="13" t="str">
        <f t="shared" si="5"/>
        <v>Peito-Composto-1</v>
      </c>
      <c r="O63" s="13" t="str">
        <f>IF(K63=1,INDEX(Exercicios!$B$5:$B$75,MATCH(N63,Exercicios!$I$5:$I$75,0)),"")</f>
        <v>Supino reto com barra</v>
      </c>
    </row>
    <row r="64" spans="1:15" x14ac:dyDescent="0.3">
      <c r="A64" s="20">
        <v>5</v>
      </c>
      <c r="B64" s="20">
        <v>1</v>
      </c>
      <c r="C64" s="9" t="s">
        <v>195</v>
      </c>
      <c r="D64" s="9" t="s">
        <v>29</v>
      </c>
      <c r="E64" s="9" t="s">
        <v>183</v>
      </c>
      <c r="F64" s="9" t="s">
        <v>126</v>
      </c>
      <c r="G64" s="9" t="s">
        <v>184</v>
      </c>
      <c r="H64" s="13">
        <f>IF(AND(A64=Gerador!$B$20,MATCH(F64,Niveis!$A$5:$A$7,0)&lt;=MATCH(Gerador!$B$19,Niveis!$A$5:$A$7,0),OR(G64="Todos",G64=Gerador!$B$21)),1,0)</f>
        <v>1</v>
      </c>
      <c r="I64" s="13">
        <f>IF(H64=1,COUNTIFS($D$5:D64,D64,$E$5:E64,E64,$H$5:H64,1),0)</f>
        <v>2</v>
      </c>
      <c r="J64" s="13">
        <f>COUNTIFS(Exercicios!$C$5:$C$75,D64,Exercicios!$F$5:$F$75,E64,Exercicios!$H$5:$H$75,"Sim")</f>
        <v>7</v>
      </c>
      <c r="K64" s="13">
        <f t="shared" si="3"/>
        <v>1</v>
      </c>
      <c r="L64" s="13">
        <f>IF(K64=1,COUNTIFS($A$5:A64,A64,$B$5:B64,B64,$K$5:K64,1),0)</f>
        <v>2</v>
      </c>
      <c r="M64" s="13" t="str">
        <f t="shared" si="4"/>
        <v>5-1-2</v>
      </c>
      <c r="N64" s="13" t="str">
        <f t="shared" si="5"/>
        <v>Peito-Composto-2</v>
      </c>
      <c r="O64" s="13" t="str">
        <f>IF(K64=1,INDEX(Exercicios!$B$5:$B$75,MATCH(N64,Exercicios!$I$5:$I$75,0)),"")</f>
        <v>Supino inclinado com barra</v>
      </c>
    </row>
    <row r="65" spans="1:15" x14ac:dyDescent="0.3">
      <c r="A65" s="20">
        <v>5</v>
      </c>
      <c r="B65" s="20">
        <v>1</v>
      </c>
      <c r="C65" s="9" t="s">
        <v>195</v>
      </c>
      <c r="D65" s="9" t="s">
        <v>34</v>
      </c>
      <c r="E65" s="9" t="s">
        <v>183</v>
      </c>
      <c r="F65" s="9" t="s">
        <v>126</v>
      </c>
      <c r="G65" s="9" t="s">
        <v>184</v>
      </c>
      <c r="H65" s="13">
        <f>IF(AND(A65=Gerador!$B$20,MATCH(F65,Niveis!$A$5:$A$7,0)&lt;=MATCH(Gerador!$B$19,Niveis!$A$5:$A$7,0),OR(G65="Todos",G65=Gerador!$B$21)),1,0)</f>
        <v>1</v>
      </c>
      <c r="I65" s="13">
        <f>IF(H65=1,COUNTIFS($D$5:D65,D65,$E$5:E65,E65,$H$5:H65,1),0)</f>
        <v>1</v>
      </c>
      <c r="J65" s="13">
        <f>COUNTIFS(Exercicios!$C$5:$C$75,D65,Exercicios!$F$5:$F$75,E65,Exercicios!$H$5:$H$75,"Sim")</f>
        <v>3</v>
      </c>
      <c r="K65" s="13">
        <f t="shared" si="3"/>
        <v>1</v>
      </c>
      <c r="L65" s="13">
        <f>IF(K65=1,COUNTIFS($A$5:A65,A65,$B$5:B65,B65,$K$5:K65,1),0)</f>
        <v>3</v>
      </c>
      <c r="M65" s="13" t="str">
        <f t="shared" si="4"/>
        <v>5-1-3</v>
      </c>
      <c r="N65" s="13" t="str">
        <f t="shared" si="5"/>
        <v>Ombros-Composto-1</v>
      </c>
      <c r="O65" s="13" t="str">
        <f>IF(K65=1,INDEX(Exercicios!$B$5:$B$75,MATCH(N65,Exercicios!$I$5:$I$75,0)),"")</f>
        <v>Desenvolvimento militar com barra</v>
      </c>
    </row>
    <row r="66" spans="1:15" x14ac:dyDescent="0.3">
      <c r="A66" s="20">
        <v>5</v>
      </c>
      <c r="B66" s="20">
        <v>1</v>
      </c>
      <c r="C66" s="9" t="s">
        <v>195</v>
      </c>
      <c r="D66" s="9" t="s">
        <v>29</v>
      </c>
      <c r="E66" s="9" t="s">
        <v>185</v>
      </c>
      <c r="F66" s="9" t="s">
        <v>126</v>
      </c>
      <c r="G66" s="9" t="s">
        <v>184</v>
      </c>
      <c r="H66" s="13">
        <f>IF(AND(A66=Gerador!$B$20,MATCH(F66,Niveis!$A$5:$A$7,0)&lt;=MATCH(Gerador!$B$19,Niveis!$A$5:$A$7,0),OR(G66="Todos",G66=Gerador!$B$21)),1,0)</f>
        <v>1</v>
      </c>
      <c r="I66" s="13">
        <f>IF(H66=1,COUNTIFS($D$5:D66,D66,$E$5:E66,E66,$H$5:H66,1),0)</f>
        <v>1</v>
      </c>
      <c r="J66" s="13">
        <f>COUNTIFS(Exercicios!$C$5:$C$75,D66,Exercicios!$F$5:$F$75,E66,Exercicios!$H$5:$H$75,"Sim")</f>
        <v>3</v>
      </c>
      <c r="K66" s="13">
        <f t="shared" si="3"/>
        <v>1</v>
      </c>
      <c r="L66" s="13">
        <f>IF(K66=1,COUNTIFS($A$5:A66,A66,$B$5:B66,B66,$K$5:K66,1),0)</f>
        <v>4</v>
      </c>
      <c r="M66" s="13" t="str">
        <f t="shared" si="4"/>
        <v>5-1-4</v>
      </c>
      <c r="N66" s="13" t="str">
        <f t="shared" si="5"/>
        <v>Peito-Isolado-1</v>
      </c>
      <c r="O66" s="13" t="str">
        <f>IF(K66=1,INDEX(Exercicios!$B$5:$B$75,MATCH(N66,Exercicios!$I$5:$I$75,0)),"")</f>
        <v>Crossover na polia</v>
      </c>
    </row>
    <row r="67" spans="1:15" x14ac:dyDescent="0.3">
      <c r="A67" s="20">
        <v>5</v>
      </c>
      <c r="B67" s="20">
        <v>1</v>
      </c>
      <c r="C67" s="9" t="s">
        <v>195</v>
      </c>
      <c r="D67" s="9" t="s">
        <v>34</v>
      </c>
      <c r="E67" s="9" t="s">
        <v>185</v>
      </c>
      <c r="F67" s="9" t="s">
        <v>126</v>
      </c>
      <c r="G67" s="9" t="s">
        <v>184</v>
      </c>
      <c r="H67" s="13">
        <f>IF(AND(A67=Gerador!$B$20,MATCH(F67,Niveis!$A$5:$A$7,0)&lt;=MATCH(Gerador!$B$19,Niveis!$A$5:$A$7,0),OR(G67="Todos",G67=Gerador!$B$21)),1,0)</f>
        <v>1</v>
      </c>
      <c r="I67" s="13">
        <f>IF(H67=1,COUNTIFS($D$5:D67,D67,$E$5:E67,E67,$H$5:H67,1),0)</f>
        <v>1</v>
      </c>
      <c r="J67" s="13">
        <f>COUNTIFS(Exercicios!$C$5:$C$75,D67,Exercicios!$F$5:$F$75,E67,Exercicios!$H$5:$H$75,"Sim")</f>
        <v>5</v>
      </c>
      <c r="K67" s="13">
        <f t="shared" si="3"/>
        <v>1</v>
      </c>
      <c r="L67" s="13">
        <f>IF(K67=1,COUNTIFS($A$5:A67,A67,$B$5:B67,B67,$K$5:K67,1),0)</f>
        <v>5</v>
      </c>
      <c r="M67" s="13" t="str">
        <f t="shared" si="4"/>
        <v>5-1-5</v>
      </c>
      <c r="N67" s="13" t="str">
        <f t="shared" si="5"/>
        <v>Ombros-Isolado-1</v>
      </c>
      <c r="O67" s="13" t="str">
        <f>IF(K67=1,INDEX(Exercicios!$B$5:$B$75,MATCH(N67,Exercicios!$I$5:$I$75,0)),"")</f>
        <v>Elevação lateral com halteres</v>
      </c>
    </row>
    <row r="68" spans="1:15" x14ac:dyDescent="0.3">
      <c r="A68" s="20">
        <v>5</v>
      </c>
      <c r="B68" s="20">
        <v>1</v>
      </c>
      <c r="C68" s="9" t="s">
        <v>195</v>
      </c>
      <c r="D68" s="9" t="s">
        <v>42</v>
      </c>
      <c r="E68" s="9" t="s">
        <v>183</v>
      </c>
      <c r="F68" s="9" t="s">
        <v>126</v>
      </c>
      <c r="G68" s="9" t="s">
        <v>184</v>
      </c>
      <c r="H68" s="13">
        <f>IF(AND(A68=Gerador!$B$20,MATCH(F68,Niveis!$A$5:$A$7,0)&lt;=MATCH(Gerador!$B$19,Niveis!$A$5:$A$7,0),OR(G68="Todos",G68=Gerador!$B$21)),1,0)</f>
        <v>1</v>
      </c>
      <c r="I68" s="13">
        <f>IF(H68=1,COUNTIFS($D$5:D68,D68,$E$5:E68,E68,$H$5:H68,1),0)</f>
        <v>1</v>
      </c>
      <c r="J68" s="13">
        <f>COUNTIFS(Exercicios!$C$5:$C$75,D68,Exercicios!$F$5:$F$75,E68,Exercicios!$H$5:$H$75,"Sim")</f>
        <v>2</v>
      </c>
      <c r="K68" s="13">
        <f t="shared" si="3"/>
        <v>1</v>
      </c>
      <c r="L68" s="13">
        <f>IF(K68=1,COUNTIFS($A$5:A68,A68,$B$5:B68,B68,$K$5:K68,1),0)</f>
        <v>6</v>
      </c>
      <c r="M68" s="13" t="str">
        <f t="shared" si="4"/>
        <v>5-1-6</v>
      </c>
      <c r="N68" s="13" t="str">
        <f t="shared" si="5"/>
        <v>Tríceps-Composto-1</v>
      </c>
      <c r="O68" s="13" t="str">
        <f>IF(K68=1,INDEX(Exercicios!$B$5:$B$75,MATCH(N68,Exercicios!$I$5:$I$75,0)),"")</f>
        <v>Supino fechado</v>
      </c>
    </row>
    <row r="69" spans="1:15" x14ac:dyDescent="0.3">
      <c r="A69" s="20">
        <v>5</v>
      </c>
      <c r="B69" s="20">
        <v>1</v>
      </c>
      <c r="C69" s="9" t="s">
        <v>195</v>
      </c>
      <c r="D69" s="9" t="s">
        <v>42</v>
      </c>
      <c r="E69" s="9" t="s">
        <v>185</v>
      </c>
      <c r="F69" s="9" t="s">
        <v>126</v>
      </c>
      <c r="G69" s="9" t="s">
        <v>184</v>
      </c>
      <c r="H69" s="13">
        <f>IF(AND(A69=Gerador!$B$20,MATCH(F69,Niveis!$A$5:$A$7,0)&lt;=MATCH(Gerador!$B$19,Niveis!$A$5:$A$7,0),OR(G69="Todos",G69=Gerador!$B$21)),1,0)</f>
        <v>1</v>
      </c>
      <c r="I69" s="13">
        <f>IF(H69=1,COUNTIFS($D$5:D69,D69,$E$5:E69,E69,$H$5:H69,1),0)</f>
        <v>1</v>
      </c>
      <c r="J69" s="13">
        <f>COUNTIFS(Exercicios!$C$5:$C$75,D69,Exercicios!$F$5:$F$75,E69,Exercicios!$H$5:$H$75,"Sim")</f>
        <v>3</v>
      </c>
      <c r="K69" s="13">
        <f t="shared" ref="K69:K100" si="6">IF(AND(H69=1,I69&lt;=J69),1,0)</f>
        <v>1</v>
      </c>
      <c r="L69" s="13">
        <f>IF(K69=1,COUNTIFS($A$5:A69,A69,$B$5:B69,B69,$K$5:K69,1),0)</f>
        <v>7</v>
      </c>
      <c r="M69" s="13" t="str">
        <f t="shared" ref="M69:M100" si="7">IF(K69=1,A69&amp;"-"&amp;B69&amp;"-"&amp;L69,"")</f>
        <v>5-1-7</v>
      </c>
      <c r="N69" s="13" t="str">
        <f t="shared" ref="N69:N105" si="8">IF(K69=1,D69&amp;"-"&amp;E69&amp;"-"&amp;I69,"")</f>
        <v>Tríceps-Isolado-1</v>
      </c>
      <c r="O69" s="13" t="str">
        <f>IF(K69=1,INDEX(Exercicios!$B$5:$B$75,MATCH(N69,Exercicios!$I$5:$I$75,0)),"")</f>
        <v>Tríceps pulley (corda ou barra)</v>
      </c>
    </row>
    <row r="70" spans="1:15" x14ac:dyDescent="0.3">
      <c r="A70" s="20">
        <v>5</v>
      </c>
      <c r="B70" s="20">
        <v>2</v>
      </c>
      <c r="C70" s="9" t="s">
        <v>196</v>
      </c>
      <c r="D70" s="9" t="s">
        <v>33</v>
      </c>
      <c r="E70" s="9" t="s">
        <v>183</v>
      </c>
      <c r="F70" s="9" t="s">
        <v>126</v>
      </c>
      <c r="G70" s="9" t="s">
        <v>184</v>
      </c>
      <c r="H70" s="13">
        <f>IF(AND(A70=Gerador!$B$20,MATCH(F70,Niveis!$A$5:$A$7,0)&lt;=MATCH(Gerador!$B$19,Niveis!$A$5:$A$7,0),OR(G70="Todos",G70=Gerador!$B$21)),1,0)</f>
        <v>1</v>
      </c>
      <c r="I70" s="13">
        <f>IF(H70=1,COUNTIFS($D$5:D70,D70,$E$5:E70,E70,$H$5:H70,1),0)</f>
        <v>1</v>
      </c>
      <c r="J70" s="13">
        <f>COUNTIFS(Exercicios!$C$5:$C$75,D70,Exercicios!$F$5:$F$75,E70,Exercicios!$H$5:$H$75,"Sim")</f>
        <v>8</v>
      </c>
      <c r="K70" s="13">
        <f t="shared" si="6"/>
        <v>1</v>
      </c>
      <c r="L70" s="13">
        <f>IF(K70=1,COUNTIFS($A$5:A70,A70,$B$5:B70,B70,$K$5:K70,1),0)</f>
        <v>1</v>
      </c>
      <c r="M70" s="13" t="str">
        <f t="shared" si="7"/>
        <v>5-2-1</v>
      </c>
      <c r="N70" s="13" t="str">
        <f t="shared" si="8"/>
        <v>Costas-Composto-1</v>
      </c>
      <c r="O70" s="13" t="str">
        <f>IF(K70=1,INDEX(Exercicios!$B$5:$B$75,MATCH(N70,Exercicios!$I$5:$I$75,0)),"")</f>
        <v>Remada curvada com barra</v>
      </c>
    </row>
    <row r="71" spans="1:15" x14ac:dyDescent="0.3">
      <c r="A71" s="20">
        <v>5</v>
      </c>
      <c r="B71" s="20">
        <v>2</v>
      </c>
      <c r="C71" s="9" t="s">
        <v>196</v>
      </c>
      <c r="D71" s="9" t="s">
        <v>33</v>
      </c>
      <c r="E71" s="9" t="s">
        <v>183</v>
      </c>
      <c r="F71" s="9" t="s">
        <v>126</v>
      </c>
      <c r="G71" s="9" t="s">
        <v>184</v>
      </c>
      <c r="H71" s="13">
        <f>IF(AND(A71=Gerador!$B$20,MATCH(F71,Niveis!$A$5:$A$7,0)&lt;=MATCH(Gerador!$B$19,Niveis!$A$5:$A$7,0),OR(G71="Todos",G71=Gerador!$B$21)),1,0)</f>
        <v>1</v>
      </c>
      <c r="I71" s="13">
        <f>IF(H71=1,COUNTIFS($D$5:D71,D71,$E$5:E71,E71,$H$5:H71,1),0)</f>
        <v>2</v>
      </c>
      <c r="J71" s="13">
        <f>COUNTIFS(Exercicios!$C$5:$C$75,D71,Exercicios!$F$5:$F$75,E71,Exercicios!$H$5:$H$75,"Sim")</f>
        <v>8</v>
      </c>
      <c r="K71" s="13">
        <f t="shared" si="6"/>
        <v>1</v>
      </c>
      <c r="L71" s="13">
        <f>IF(K71=1,COUNTIFS($A$5:A71,A71,$B$5:B71,B71,$K$5:K71,1),0)</f>
        <v>2</v>
      </c>
      <c r="M71" s="13" t="str">
        <f t="shared" si="7"/>
        <v>5-2-2</v>
      </c>
      <c r="N71" s="13" t="str">
        <f t="shared" si="8"/>
        <v>Costas-Composto-2</v>
      </c>
      <c r="O71" s="13" t="str">
        <f>IF(K71=1,INDEX(Exercicios!$B$5:$B$75,MATCH(N71,Exercicios!$I$5:$I$75,0)),"")</f>
        <v>Barra fixa (pull-up)</v>
      </c>
    </row>
    <row r="72" spans="1:15" x14ac:dyDescent="0.3">
      <c r="A72" s="20">
        <v>5</v>
      </c>
      <c r="B72" s="20">
        <v>2</v>
      </c>
      <c r="C72" s="9" t="s">
        <v>196</v>
      </c>
      <c r="D72" s="9" t="s">
        <v>33</v>
      </c>
      <c r="E72" s="9" t="s">
        <v>183</v>
      </c>
      <c r="F72" s="9" t="s">
        <v>126</v>
      </c>
      <c r="G72" s="9" t="s">
        <v>184</v>
      </c>
      <c r="H72" s="13">
        <f>IF(AND(A72=Gerador!$B$20,MATCH(F72,Niveis!$A$5:$A$7,0)&lt;=MATCH(Gerador!$B$19,Niveis!$A$5:$A$7,0),OR(G72="Todos",G72=Gerador!$B$21)),1,0)</f>
        <v>1</v>
      </c>
      <c r="I72" s="13">
        <f>IF(H72=1,COUNTIFS($D$5:D72,D72,$E$5:E72,E72,$H$5:H72,1),0)</f>
        <v>3</v>
      </c>
      <c r="J72" s="13">
        <f>COUNTIFS(Exercicios!$C$5:$C$75,D72,Exercicios!$F$5:$F$75,E72,Exercicios!$H$5:$H$75,"Sim")</f>
        <v>8</v>
      </c>
      <c r="K72" s="13">
        <f t="shared" si="6"/>
        <v>1</v>
      </c>
      <c r="L72" s="13">
        <f>IF(K72=1,COUNTIFS($A$5:A72,A72,$B$5:B72,B72,$K$5:K72,1),0)</f>
        <v>3</v>
      </c>
      <c r="M72" s="13" t="str">
        <f t="shared" si="7"/>
        <v>5-2-3</v>
      </c>
      <c r="N72" s="13" t="str">
        <f t="shared" si="8"/>
        <v>Costas-Composto-3</v>
      </c>
      <c r="O72" s="13" t="str">
        <f>IF(K72=1,INDEX(Exercicios!$B$5:$B$75,MATCH(N72,Exercicios!$I$5:$I$75,0)),"")</f>
        <v>Puxada frontal na polia</v>
      </c>
    </row>
    <row r="73" spans="1:15" x14ac:dyDescent="0.3">
      <c r="A73" s="20">
        <v>5</v>
      </c>
      <c r="B73" s="20">
        <v>2</v>
      </c>
      <c r="C73" s="9" t="s">
        <v>196</v>
      </c>
      <c r="D73" s="9" t="s">
        <v>33</v>
      </c>
      <c r="E73" s="9" t="s">
        <v>185</v>
      </c>
      <c r="F73" s="9" t="s">
        <v>126</v>
      </c>
      <c r="G73" s="9" t="s">
        <v>184</v>
      </c>
      <c r="H73" s="13">
        <f>IF(AND(A73=Gerador!$B$20,MATCH(F73,Niveis!$A$5:$A$7,0)&lt;=MATCH(Gerador!$B$19,Niveis!$A$5:$A$7,0),OR(G73="Todos",G73=Gerador!$B$21)),1,0)</f>
        <v>1</v>
      </c>
      <c r="I73" s="13">
        <f>IF(H73=1,COUNTIFS($D$5:D73,D73,$E$5:E73,E73,$H$5:H73,1),0)</f>
        <v>1</v>
      </c>
      <c r="J73" s="13">
        <f>COUNTIFS(Exercicios!$C$5:$C$75,D73,Exercicios!$F$5:$F$75,E73,Exercicios!$H$5:$H$75,"Sim")</f>
        <v>1</v>
      </c>
      <c r="K73" s="13">
        <f t="shared" si="6"/>
        <v>1</v>
      </c>
      <c r="L73" s="13">
        <f>IF(K73=1,COUNTIFS($A$5:A73,A73,$B$5:B73,B73,$K$5:K73,1),0)</f>
        <v>4</v>
      </c>
      <c r="M73" s="13" t="str">
        <f t="shared" si="7"/>
        <v>5-2-4</v>
      </c>
      <c r="N73" s="13" t="str">
        <f t="shared" si="8"/>
        <v>Costas-Isolado-1</v>
      </c>
      <c r="O73" s="13" t="str">
        <f>IF(K73=1,INDEX(Exercicios!$B$5:$B$75,MATCH(N73,Exercicios!$I$5:$I$75,0)),"")</f>
        <v>Pullover na polia (braços estendidos)</v>
      </c>
    </row>
    <row r="74" spans="1:15" x14ac:dyDescent="0.3">
      <c r="A74" s="20">
        <v>5</v>
      </c>
      <c r="B74" s="20">
        <v>2</v>
      </c>
      <c r="C74" s="9" t="s">
        <v>196</v>
      </c>
      <c r="D74" s="9" t="s">
        <v>34</v>
      </c>
      <c r="E74" s="9" t="s">
        <v>185</v>
      </c>
      <c r="F74" s="9" t="s">
        <v>126</v>
      </c>
      <c r="G74" s="9" t="s">
        <v>184</v>
      </c>
      <c r="H74" s="13">
        <f>IF(AND(A74=Gerador!$B$20,MATCH(F74,Niveis!$A$5:$A$7,0)&lt;=MATCH(Gerador!$B$19,Niveis!$A$5:$A$7,0),OR(G74="Todos",G74=Gerador!$B$21)),1,0)</f>
        <v>1</v>
      </c>
      <c r="I74" s="13">
        <f>IF(H74=1,COUNTIFS($D$5:D74,D74,$E$5:E74,E74,$H$5:H74,1),0)</f>
        <v>2</v>
      </c>
      <c r="J74" s="13">
        <f>COUNTIFS(Exercicios!$C$5:$C$75,D74,Exercicios!$F$5:$F$75,E74,Exercicios!$H$5:$H$75,"Sim")</f>
        <v>5</v>
      </c>
      <c r="K74" s="13">
        <f t="shared" si="6"/>
        <v>1</v>
      </c>
      <c r="L74" s="13">
        <f>IF(K74=1,COUNTIFS($A$5:A74,A74,$B$5:B74,B74,$K$5:K74,1),0)</f>
        <v>5</v>
      </c>
      <c r="M74" s="13" t="str">
        <f t="shared" si="7"/>
        <v>5-2-5</v>
      </c>
      <c r="N74" s="13" t="str">
        <f t="shared" si="8"/>
        <v>Ombros-Isolado-2</v>
      </c>
      <c r="O74" s="13" t="str">
        <f>IF(K74=1,INDEX(Exercicios!$B$5:$B$75,MATCH(N74,Exercicios!$I$5:$I$75,0)),"")</f>
        <v>Crucifixo inverso na máquina (deltoide posterior)</v>
      </c>
    </row>
    <row r="75" spans="1:15" x14ac:dyDescent="0.3">
      <c r="A75" s="20">
        <v>5</v>
      </c>
      <c r="B75" s="20">
        <v>2</v>
      </c>
      <c r="C75" s="9" t="s">
        <v>196</v>
      </c>
      <c r="D75" s="9" t="s">
        <v>39</v>
      </c>
      <c r="E75" s="9" t="s">
        <v>185</v>
      </c>
      <c r="F75" s="9" t="s">
        <v>126</v>
      </c>
      <c r="G75" s="9" t="s">
        <v>184</v>
      </c>
      <c r="H75" s="13">
        <f>IF(AND(A75=Gerador!$B$20,MATCH(F75,Niveis!$A$5:$A$7,0)&lt;=MATCH(Gerador!$B$19,Niveis!$A$5:$A$7,0),OR(G75="Todos",G75=Gerador!$B$21)),1,0)</f>
        <v>1</v>
      </c>
      <c r="I75" s="13">
        <f>IF(H75=1,COUNTIFS($D$5:D75,D75,$E$5:E75,E75,$H$5:H75,1),0)</f>
        <v>1</v>
      </c>
      <c r="J75" s="13">
        <f>COUNTIFS(Exercicios!$C$5:$C$75,D75,Exercicios!$F$5:$F$75,E75,Exercicios!$H$5:$H$75,"Sim")</f>
        <v>5</v>
      </c>
      <c r="K75" s="13">
        <f t="shared" si="6"/>
        <v>1</v>
      </c>
      <c r="L75" s="13">
        <f>IF(K75=1,COUNTIFS($A$5:A75,A75,$B$5:B75,B75,$K$5:K75,1),0)</f>
        <v>6</v>
      </c>
      <c r="M75" s="13" t="str">
        <f t="shared" si="7"/>
        <v>5-2-6</v>
      </c>
      <c r="N75" s="13" t="str">
        <f t="shared" si="8"/>
        <v>Bíceps-Isolado-1</v>
      </c>
      <c r="O75" s="13" t="str">
        <f>IF(K75=1,INDEX(Exercicios!$B$5:$B$75,MATCH(N75,Exercicios!$I$5:$I$75,0)),"")</f>
        <v>Rosca direta com barra</v>
      </c>
    </row>
    <row r="76" spans="1:15" x14ac:dyDescent="0.3">
      <c r="A76" s="20">
        <v>5</v>
      </c>
      <c r="B76" s="20">
        <v>2</v>
      </c>
      <c r="C76" s="9" t="s">
        <v>196</v>
      </c>
      <c r="D76" s="9" t="s">
        <v>39</v>
      </c>
      <c r="E76" s="9" t="s">
        <v>185</v>
      </c>
      <c r="F76" s="9" t="s">
        <v>126</v>
      </c>
      <c r="G76" s="9" t="s">
        <v>184</v>
      </c>
      <c r="H76" s="13">
        <f>IF(AND(A76=Gerador!$B$20,MATCH(F76,Niveis!$A$5:$A$7,0)&lt;=MATCH(Gerador!$B$19,Niveis!$A$5:$A$7,0),OR(G76="Todos",G76=Gerador!$B$21)),1,0)</f>
        <v>1</v>
      </c>
      <c r="I76" s="13">
        <f>IF(H76=1,COUNTIFS($D$5:D76,D76,$E$5:E76,E76,$H$5:H76,1),0)</f>
        <v>2</v>
      </c>
      <c r="J76" s="13">
        <f>COUNTIFS(Exercicios!$C$5:$C$75,D76,Exercicios!$F$5:$F$75,E76,Exercicios!$H$5:$H$75,"Sim")</f>
        <v>5</v>
      </c>
      <c r="K76" s="13">
        <f t="shared" si="6"/>
        <v>1</v>
      </c>
      <c r="L76" s="13">
        <f>IF(K76=1,COUNTIFS($A$5:A76,A76,$B$5:B76,B76,$K$5:K76,1),0)</f>
        <v>7</v>
      </c>
      <c r="M76" s="13" t="str">
        <f t="shared" si="7"/>
        <v>5-2-7</v>
      </c>
      <c r="N76" s="13" t="str">
        <f t="shared" si="8"/>
        <v>Bíceps-Isolado-2</v>
      </c>
      <c r="O76" s="13" t="str">
        <f>IF(K76=1,INDEX(Exercicios!$B$5:$B$75,MATCH(N76,Exercicios!$I$5:$I$75,0)),"")</f>
        <v>Rosca alternada com halteres</v>
      </c>
    </row>
    <row r="77" spans="1:15" x14ac:dyDescent="0.3">
      <c r="A77" s="20">
        <v>5</v>
      </c>
      <c r="B77" s="20">
        <v>2</v>
      </c>
      <c r="C77" s="9" t="s">
        <v>196</v>
      </c>
      <c r="D77" s="9" t="s">
        <v>52</v>
      </c>
      <c r="E77" s="9" t="s">
        <v>185</v>
      </c>
      <c r="F77" s="9" t="s">
        <v>126</v>
      </c>
      <c r="G77" s="9" t="s">
        <v>184</v>
      </c>
      <c r="H77" s="13">
        <f>IF(AND(A77=Gerador!$B$20,MATCH(F77,Niveis!$A$5:$A$7,0)&lt;=MATCH(Gerador!$B$19,Niveis!$A$5:$A$7,0),OR(G77="Todos",G77=Gerador!$B$21)),1,0)</f>
        <v>1</v>
      </c>
      <c r="I77" s="13">
        <f>IF(H77=1,COUNTIFS($D$5:D77,D77,$E$5:E77,E77,$H$5:H77,1),0)</f>
        <v>1</v>
      </c>
      <c r="J77" s="13">
        <f>COUNTIFS(Exercicios!$C$5:$C$75,D77,Exercicios!$F$5:$F$75,E77,Exercicios!$H$5:$H$75,"Sim")</f>
        <v>2</v>
      </c>
      <c r="K77" s="13">
        <f t="shared" si="6"/>
        <v>1</v>
      </c>
      <c r="L77" s="13">
        <f>IF(K77=1,COUNTIFS($A$5:A77,A77,$B$5:B77,B77,$K$5:K77,1),0)</f>
        <v>8</v>
      </c>
      <c r="M77" s="13" t="str">
        <f t="shared" si="7"/>
        <v>5-2-8</v>
      </c>
      <c r="N77" s="13" t="str">
        <f t="shared" si="8"/>
        <v>Antebraço-Isolado-1</v>
      </c>
      <c r="O77" s="13" t="str">
        <f>IF(K77=1,INDEX(Exercicios!$B$5:$B$75,MATCH(N77,Exercicios!$I$5:$I$75,0)),"")</f>
        <v>Rosca de punho</v>
      </c>
    </row>
    <row r="78" spans="1:15" x14ac:dyDescent="0.3">
      <c r="A78" s="20">
        <v>5</v>
      </c>
      <c r="B78" s="20">
        <v>3</v>
      </c>
      <c r="C78" s="9" t="s">
        <v>197</v>
      </c>
      <c r="D78" s="9" t="s">
        <v>44</v>
      </c>
      <c r="E78" s="9" t="s">
        <v>183</v>
      </c>
      <c r="F78" s="9" t="s">
        <v>126</v>
      </c>
      <c r="G78" s="9" t="s">
        <v>184</v>
      </c>
      <c r="H78" s="13">
        <f>IF(AND(A78=Gerador!$B$20,MATCH(F78,Niveis!$A$5:$A$7,0)&lt;=MATCH(Gerador!$B$19,Niveis!$A$5:$A$7,0),OR(G78="Todos",G78=Gerador!$B$21)),1,0)</f>
        <v>1</v>
      </c>
      <c r="I78" s="13">
        <f>IF(H78=1,COUNTIFS($D$5:D78,D78,$E$5:E78,E78,$H$5:H78,1),0)</f>
        <v>1</v>
      </c>
      <c r="J78" s="13">
        <f>COUNTIFS(Exercicios!$C$5:$C$75,D78,Exercicios!$F$5:$F$75,E78,Exercicios!$H$5:$H$75,"Sim")</f>
        <v>8</v>
      </c>
      <c r="K78" s="13">
        <f t="shared" si="6"/>
        <v>1</v>
      </c>
      <c r="L78" s="13">
        <f>IF(K78=1,COUNTIFS($A$5:A78,A78,$B$5:B78,B78,$K$5:K78,1),0)</f>
        <v>1</v>
      </c>
      <c r="M78" s="13" t="str">
        <f t="shared" si="7"/>
        <v>5-3-1</v>
      </c>
      <c r="N78" s="13" t="str">
        <f t="shared" si="8"/>
        <v>Quadríceps-Composto-1</v>
      </c>
      <c r="O78" s="13" t="str">
        <f>IF(K78=1,INDEX(Exercicios!$B$5:$B$75,MATCH(N78,Exercicios!$I$5:$I$75,0)),"")</f>
        <v>Agachamento livre com barra</v>
      </c>
    </row>
    <row r="79" spans="1:15" x14ac:dyDescent="0.3">
      <c r="A79" s="20">
        <v>5</v>
      </c>
      <c r="B79" s="20">
        <v>3</v>
      </c>
      <c r="C79" s="9" t="s">
        <v>197</v>
      </c>
      <c r="D79" s="9" t="s">
        <v>44</v>
      </c>
      <c r="E79" s="9" t="s">
        <v>183</v>
      </c>
      <c r="F79" s="9" t="s">
        <v>126</v>
      </c>
      <c r="G79" s="9" t="s">
        <v>184</v>
      </c>
      <c r="H79" s="13">
        <f>IF(AND(A79=Gerador!$B$20,MATCH(F79,Niveis!$A$5:$A$7,0)&lt;=MATCH(Gerador!$B$19,Niveis!$A$5:$A$7,0),OR(G79="Todos",G79=Gerador!$B$21)),1,0)</f>
        <v>1</v>
      </c>
      <c r="I79" s="13">
        <f>IF(H79=1,COUNTIFS($D$5:D79,D79,$E$5:E79,E79,$H$5:H79,1),0)</f>
        <v>2</v>
      </c>
      <c r="J79" s="13">
        <f>COUNTIFS(Exercicios!$C$5:$C$75,D79,Exercicios!$F$5:$F$75,E79,Exercicios!$H$5:$H$75,"Sim")</f>
        <v>8</v>
      </c>
      <c r="K79" s="13">
        <f t="shared" si="6"/>
        <v>1</v>
      </c>
      <c r="L79" s="13">
        <f>IF(K79=1,COUNTIFS($A$5:A79,A79,$B$5:B79,B79,$K$5:K79,1),0)</f>
        <v>2</v>
      </c>
      <c r="M79" s="13" t="str">
        <f t="shared" si="7"/>
        <v>5-3-2</v>
      </c>
      <c r="N79" s="13" t="str">
        <f t="shared" si="8"/>
        <v>Quadríceps-Composto-2</v>
      </c>
      <c r="O79" s="13" t="str">
        <f>IF(K79=1,INDEX(Exercicios!$B$5:$B$75,MATCH(N79,Exercicios!$I$5:$I$75,0)),"")</f>
        <v>Agachamento frontal</v>
      </c>
    </row>
    <row r="80" spans="1:15" x14ac:dyDescent="0.3">
      <c r="A80" s="20">
        <v>5</v>
      </c>
      <c r="B80" s="20">
        <v>3</v>
      </c>
      <c r="C80" s="9" t="s">
        <v>197</v>
      </c>
      <c r="D80" s="9" t="s">
        <v>44</v>
      </c>
      <c r="E80" s="9" t="s">
        <v>185</v>
      </c>
      <c r="F80" s="9" t="s">
        <v>126</v>
      </c>
      <c r="G80" s="9" t="s">
        <v>184</v>
      </c>
      <c r="H80" s="13">
        <f>IF(AND(A80=Gerador!$B$20,MATCH(F80,Niveis!$A$5:$A$7,0)&lt;=MATCH(Gerador!$B$19,Niveis!$A$5:$A$7,0),OR(G80="Todos",G80=Gerador!$B$21)),1,0)</f>
        <v>1</v>
      </c>
      <c r="I80" s="13">
        <f>IF(H80=1,COUNTIFS($D$5:D80,D80,$E$5:E80,E80,$H$5:H80,1),0)</f>
        <v>1</v>
      </c>
      <c r="J80" s="13">
        <f>COUNTIFS(Exercicios!$C$5:$C$75,D80,Exercicios!$F$5:$F$75,E80,Exercicios!$H$5:$H$75,"Sim")</f>
        <v>1</v>
      </c>
      <c r="K80" s="13">
        <f t="shared" si="6"/>
        <v>1</v>
      </c>
      <c r="L80" s="13">
        <f>IF(K80=1,COUNTIFS($A$5:A80,A80,$B$5:B80,B80,$K$5:K80,1),0)</f>
        <v>3</v>
      </c>
      <c r="M80" s="13" t="str">
        <f t="shared" si="7"/>
        <v>5-3-3</v>
      </c>
      <c r="N80" s="13" t="str">
        <f t="shared" si="8"/>
        <v>Quadríceps-Isolado-1</v>
      </c>
      <c r="O80" s="13" t="str">
        <f>IF(K80=1,INDEX(Exercicios!$B$5:$B$75,MATCH(N80,Exercicios!$I$5:$I$75,0)),"")</f>
        <v>Cadeira extensora</v>
      </c>
    </row>
    <row r="81" spans="1:15" x14ac:dyDescent="0.3">
      <c r="A81" s="20">
        <v>5</v>
      </c>
      <c r="B81" s="20">
        <v>3</v>
      </c>
      <c r="C81" s="9" t="s">
        <v>197</v>
      </c>
      <c r="D81" s="9" t="s">
        <v>45</v>
      </c>
      <c r="E81" s="9" t="s">
        <v>183</v>
      </c>
      <c r="F81" s="9" t="s">
        <v>126</v>
      </c>
      <c r="G81" s="9" t="s">
        <v>184</v>
      </c>
      <c r="H81" s="13">
        <f>IF(AND(A81=Gerador!$B$20,MATCH(F81,Niveis!$A$5:$A$7,0)&lt;=MATCH(Gerador!$B$19,Niveis!$A$5:$A$7,0),OR(G81="Todos",G81=Gerador!$B$21)),1,0)</f>
        <v>1</v>
      </c>
      <c r="I81" s="13">
        <f>IF(H81=1,COUNTIFS($D$5:D81,D81,$E$5:E81,E81,$H$5:H81,1),0)</f>
        <v>1</v>
      </c>
      <c r="J81" s="13">
        <f>COUNTIFS(Exercicios!$C$5:$C$75,D81,Exercicios!$F$5:$F$75,E81,Exercicios!$H$5:$H$75,"Sim")</f>
        <v>4</v>
      </c>
      <c r="K81" s="13">
        <f t="shared" si="6"/>
        <v>1</v>
      </c>
      <c r="L81" s="13">
        <f>IF(K81=1,COUNTIFS($A$5:A81,A81,$B$5:B81,B81,$K$5:K81,1),0)</f>
        <v>4</v>
      </c>
      <c r="M81" s="13" t="str">
        <f t="shared" si="7"/>
        <v>5-3-4</v>
      </c>
      <c r="N81" s="13" t="str">
        <f t="shared" si="8"/>
        <v>Posterior de coxa-Composto-1</v>
      </c>
      <c r="O81" s="13" t="str">
        <f>IF(K81=1,INDEX(Exercicios!$B$5:$B$75,MATCH(N81,Exercicios!$I$5:$I$75,0)),"")</f>
        <v>Stiff com barra</v>
      </c>
    </row>
    <row r="82" spans="1:15" x14ac:dyDescent="0.3">
      <c r="A82" s="20">
        <v>5</v>
      </c>
      <c r="B82" s="20">
        <v>3</v>
      </c>
      <c r="C82" s="9" t="s">
        <v>197</v>
      </c>
      <c r="D82" s="9" t="s">
        <v>45</v>
      </c>
      <c r="E82" s="9" t="s">
        <v>185</v>
      </c>
      <c r="F82" s="9" t="s">
        <v>126</v>
      </c>
      <c r="G82" s="9" t="s">
        <v>184</v>
      </c>
      <c r="H82" s="13">
        <f>IF(AND(A82=Gerador!$B$20,MATCH(F82,Niveis!$A$5:$A$7,0)&lt;=MATCH(Gerador!$B$19,Niveis!$A$5:$A$7,0),OR(G82="Todos",G82=Gerador!$B$21)),1,0)</f>
        <v>1</v>
      </c>
      <c r="I82" s="13">
        <f>IF(H82=1,COUNTIFS($D$5:D82,D82,$E$5:E82,E82,$H$5:H82,1),0)</f>
        <v>1</v>
      </c>
      <c r="J82" s="13">
        <f>COUNTIFS(Exercicios!$C$5:$C$75,D82,Exercicios!$F$5:$F$75,E82,Exercicios!$H$5:$H$75,"Sim")</f>
        <v>2</v>
      </c>
      <c r="K82" s="13">
        <f t="shared" si="6"/>
        <v>1</v>
      </c>
      <c r="L82" s="13">
        <f>IF(K82=1,COUNTIFS($A$5:A82,A82,$B$5:B82,B82,$K$5:K82,1),0)</f>
        <v>5</v>
      </c>
      <c r="M82" s="13" t="str">
        <f t="shared" si="7"/>
        <v>5-3-5</v>
      </c>
      <c r="N82" s="13" t="str">
        <f t="shared" si="8"/>
        <v>Posterior de coxa-Isolado-1</v>
      </c>
      <c r="O82" s="13" t="str">
        <f>IF(K82=1,INDEX(Exercicios!$B$5:$B$75,MATCH(N82,Exercicios!$I$5:$I$75,0)),"")</f>
        <v>Mesa flexora</v>
      </c>
    </row>
    <row r="83" spans="1:15" x14ac:dyDescent="0.3">
      <c r="A83" s="20">
        <v>5</v>
      </c>
      <c r="B83" s="20">
        <v>3</v>
      </c>
      <c r="C83" s="9" t="s">
        <v>197</v>
      </c>
      <c r="D83" s="9" t="s">
        <v>46</v>
      </c>
      <c r="E83" s="9" t="s">
        <v>183</v>
      </c>
      <c r="F83" s="9" t="s">
        <v>126</v>
      </c>
      <c r="G83" s="9" t="s">
        <v>184</v>
      </c>
      <c r="H83" s="13">
        <f>IF(AND(A83=Gerador!$B$20,MATCH(F83,Niveis!$A$5:$A$7,0)&lt;=MATCH(Gerador!$B$19,Niveis!$A$5:$A$7,0),OR(G83="Todos",G83=Gerador!$B$21)),1,0)</f>
        <v>1</v>
      </c>
      <c r="I83" s="13">
        <f>IF(H83=1,COUNTIFS($D$5:D83,D83,$E$5:E83,E83,$H$5:H83,1),0)</f>
        <v>1</v>
      </c>
      <c r="J83" s="13">
        <f>COUNTIFS(Exercicios!$C$5:$C$75,D83,Exercicios!$F$5:$F$75,E83,Exercicios!$H$5:$H$75,"Sim")</f>
        <v>3</v>
      </c>
      <c r="K83" s="13">
        <f t="shared" si="6"/>
        <v>1</v>
      </c>
      <c r="L83" s="13">
        <f>IF(K83=1,COUNTIFS($A$5:A83,A83,$B$5:B83,B83,$K$5:K83,1),0)</f>
        <v>6</v>
      </c>
      <c r="M83" s="13" t="str">
        <f t="shared" si="7"/>
        <v>5-3-6</v>
      </c>
      <c r="N83" s="13" t="str">
        <f t="shared" si="8"/>
        <v>Glúteos-Composto-1</v>
      </c>
      <c r="O83" s="13" t="str">
        <f>IF(K83=1,INDEX(Exercicios!$B$5:$B$75,MATCH(N83,Exercicios!$I$5:$I$75,0)),"")</f>
        <v>Elevação pélvica (hip thrust) com barra</v>
      </c>
    </row>
    <row r="84" spans="1:15" x14ac:dyDescent="0.3">
      <c r="A84" s="20">
        <v>5</v>
      </c>
      <c r="B84" s="20">
        <v>3</v>
      </c>
      <c r="C84" s="9" t="s">
        <v>197</v>
      </c>
      <c r="D84" s="9" t="s">
        <v>46</v>
      </c>
      <c r="E84" s="9" t="s">
        <v>185</v>
      </c>
      <c r="F84" s="9" t="s">
        <v>126</v>
      </c>
      <c r="G84" s="9" t="s">
        <v>184</v>
      </c>
      <c r="H84" s="13">
        <f>IF(AND(A84=Gerador!$B$20,MATCH(F84,Niveis!$A$5:$A$7,0)&lt;=MATCH(Gerador!$B$19,Niveis!$A$5:$A$7,0),OR(G84="Todos",G84=Gerador!$B$21)),1,0)</f>
        <v>1</v>
      </c>
      <c r="I84" s="13">
        <f>IF(H84=1,COUNTIFS($D$5:D84,D84,$E$5:E84,E84,$H$5:H84,1),0)</f>
        <v>1</v>
      </c>
      <c r="J84" s="13">
        <f>COUNTIFS(Exercicios!$C$5:$C$75,D84,Exercicios!$F$5:$F$75,E84,Exercicios!$H$5:$H$75,"Sim")</f>
        <v>3</v>
      </c>
      <c r="K84" s="13">
        <f t="shared" si="6"/>
        <v>1</v>
      </c>
      <c r="L84" s="13">
        <f>IF(K84=1,COUNTIFS($A$5:A84,A84,$B$5:B84,B84,$K$5:K84,1),0)</f>
        <v>7</v>
      </c>
      <c r="M84" s="13" t="str">
        <f t="shared" si="7"/>
        <v>5-3-7</v>
      </c>
      <c r="N84" s="13" t="str">
        <f t="shared" si="8"/>
        <v>Glúteos-Isolado-1</v>
      </c>
      <c r="O84" s="13" t="str">
        <f>IF(K84=1,INDEX(Exercicios!$B$5:$B$75,MATCH(N84,Exercicios!$I$5:$I$75,0)),"")</f>
        <v>Glúteo na polia (coice)</v>
      </c>
    </row>
    <row r="85" spans="1:15" x14ac:dyDescent="0.3">
      <c r="A85" s="20">
        <v>5</v>
      </c>
      <c r="B85" s="20">
        <v>3</v>
      </c>
      <c r="C85" s="9" t="s">
        <v>197</v>
      </c>
      <c r="D85" s="9" t="s">
        <v>47</v>
      </c>
      <c r="E85" s="9" t="s">
        <v>185</v>
      </c>
      <c r="F85" s="9" t="s">
        <v>126</v>
      </c>
      <c r="G85" s="9" t="s">
        <v>184</v>
      </c>
      <c r="H85" s="13">
        <f>IF(AND(A85=Gerador!$B$20,MATCH(F85,Niveis!$A$5:$A$7,0)&lt;=MATCH(Gerador!$B$19,Niveis!$A$5:$A$7,0),OR(G85="Todos",G85=Gerador!$B$21)),1,0)</f>
        <v>1</v>
      </c>
      <c r="I85" s="13">
        <f>IF(H85=1,COUNTIFS($D$5:D85,D85,$E$5:E85,E85,$H$5:H85,1),0)</f>
        <v>1</v>
      </c>
      <c r="J85" s="13">
        <f>COUNTIFS(Exercicios!$C$5:$C$75,D85,Exercicios!$F$5:$F$75,E85,Exercicios!$H$5:$H$75,"Sim")</f>
        <v>3</v>
      </c>
      <c r="K85" s="13">
        <f t="shared" si="6"/>
        <v>1</v>
      </c>
      <c r="L85" s="13">
        <f>IF(K85=1,COUNTIFS($A$5:A85,A85,$B$5:B85,B85,$K$5:K85,1),0)</f>
        <v>8</v>
      </c>
      <c r="M85" s="13" t="str">
        <f t="shared" si="7"/>
        <v>5-3-8</v>
      </c>
      <c r="N85" s="13" t="str">
        <f t="shared" si="8"/>
        <v>Panturrilha-Isolado-1</v>
      </c>
      <c r="O85" s="13" t="str">
        <f>IF(K85=1,INDEX(Exercicios!$B$5:$B$75,MATCH(N85,Exercicios!$I$5:$I$75,0)),"")</f>
        <v>Panturrilha em pé na máquina</v>
      </c>
    </row>
    <row r="86" spans="1:15" x14ac:dyDescent="0.3">
      <c r="A86" s="20">
        <v>5</v>
      </c>
      <c r="B86" s="20">
        <v>3</v>
      </c>
      <c r="C86" s="9" t="s">
        <v>197</v>
      </c>
      <c r="D86" s="9" t="s">
        <v>47</v>
      </c>
      <c r="E86" s="9" t="s">
        <v>185</v>
      </c>
      <c r="F86" s="9" t="s">
        <v>126</v>
      </c>
      <c r="G86" s="9" t="s">
        <v>184</v>
      </c>
      <c r="H86" s="13">
        <f>IF(AND(A86=Gerador!$B$20,MATCH(F86,Niveis!$A$5:$A$7,0)&lt;=MATCH(Gerador!$B$19,Niveis!$A$5:$A$7,0),OR(G86="Todos",G86=Gerador!$B$21)),1,0)</f>
        <v>1</v>
      </c>
      <c r="I86" s="13">
        <f>IF(H86=1,COUNTIFS($D$5:D86,D86,$E$5:E86,E86,$H$5:H86,1),0)</f>
        <v>2</v>
      </c>
      <c r="J86" s="13">
        <f>COUNTIFS(Exercicios!$C$5:$C$75,D86,Exercicios!$F$5:$F$75,E86,Exercicios!$H$5:$H$75,"Sim")</f>
        <v>3</v>
      </c>
      <c r="K86" s="13">
        <f t="shared" si="6"/>
        <v>1</v>
      </c>
      <c r="L86" s="13">
        <f>IF(K86=1,COUNTIFS($A$5:A86,A86,$B$5:B86,B86,$K$5:K86,1),0)</f>
        <v>9</v>
      </c>
      <c r="M86" s="13" t="str">
        <f t="shared" si="7"/>
        <v>5-3-9</v>
      </c>
      <c r="N86" s="13" t="str">
        <f t="shared" si="8"/>
        <v>Panturrilha-Isolado-2</v>
      </c>
      <c r="O86" s="13" t="str">
        <f>IF(K86=1,INDEX(Exercicios!$B$5:$B$75,MATCH(N86,Exercicios!$I$5:$I$75,0)),"")</f>
        <v>Panturrilha sentado</v>
      </c>
    </row>
    <row r="87" spans="1:15" x14ac:dyDescent="0.3">
      <c r="A87" s="20">
        <v>5</v>
      </c>
      <c r="B87" s="20">
        <v>4</v>
      </c>
      <c r="C87" s="9" t="s">
        <v>198</v>
      </c>
      <c r="D87" s="9" t="s">
        <v>29</v>
      </c>
      <c r="E87" s="9" t="s">
        <v>183</v>
      </c>
      <c r="F87" s="9" t="s">
        <v>126</v>
      </c>
      <c r="G87" s="9" t="s">
        <v>184</v>
      </c>
      <c r="H87" s="13">
        <f>IF(AND(A87=Gerador!$B$20,MATCH(F87,Niveis!$A$5:$A$7,0)&lt;=MATCH(Gerador!$B$19,Niveis!$A$5:$A$7,0),OR(G87="Todos",G87=Gerador!$B$21)),1,0)</f>
        <v>1</v>
      </c>
      <c r="I87" s="13">
        <f>IF(H87=1,COUNTIFS($D$5:D87,D87,$E$5:E87,E87,$H$5:H87,1),0)</f>
        <v>3</v>
      </c>
      <c r="J87" s="13">
        <f>COUNTIFS(Exercicios!$C$5:$C$75,D87,Exercicios!$F$5:$F$75,E87,Exercicios!$H$5:$H$75,"Sim")</f>
        <v>7</v>
      </c>
      <c r="K87" s="13">
        <f t="shared" si="6"/>
        <v>1</v>
      </c>
      <c r="L87" s="13">
        <f>IF(K87=1,COUNTIFS($A$5:A87,A87,$B$5:B87,B87,$K$5:K87,1),0)</f>
        <v>1</v>
      </c>
      <c r="M87" s="13" t="str">
        <f t="shared" si="7"/>
        <v>5-4-1</v>
      </c>
      <c r="N87" s="13" t="str">
        <f t="shared" si="8"/>
        <v>Peito-Composto-3</v>
      </c>
      <c r="O87" s="13" t="str">
        <f>IF(K87=1,INDEX(Exercicios!$B$5:$B$75,MATCH(N87,Exercicios!$I$5:$I$75,0)),"")</f>
        <v>Supino reto com halteres</v>
      </c>
    </row>
    <row r="88" spans="1:15" x14ac:dyDescent="0.3">
      <c r="A88" s="20">
        <v>5</v>
      </c>
      <c r="B88" s="20">
        <v>4</v>
      </c>
      <c r="C88" s="9" t="s">
        <v>198</v>
      </c>
      <c r="D88" s="9" t="s">
        <v>33</v>
      </c>
      <c r="E88" s="9" t="s">
        <v>183</v>
      </c>
      <c r="F88" s="9" t="s">
        <v>126</v>
      </c>
      <c r="G88" s="9" t="s">
        <v>184</v>
      </c>
      <c r="H88" s="13">
        <f>IF(AND(A88=Gerador!$B$20,MATCH(F88,Niveis!$A$5:$A$7,0)&lt;=MATCH(Gerador!$B$19,Niveis!$A$5:$A$7,0),OR(G88="Todos",G88=Gerador!$B$21)),1,0)</f>
        <v>1</v>
      </c>
      <c r="I88" s="13">
        <f>IF(H88=1,COUNTIFS($D$5:D88,D88,$E$5:E88,E88,$H$5:H88,1),0)</f>
        <v>4</v>
      </c>
      <c r="J88" s="13">
        <f>COUNTIFS(Exercicios!$C$5:$C$75,D88,Exercicios!$F$5:$F$75,E88,Exercicios!$H$5:$H$75,"Sim")</f>
        <v>8</v>
      </c>
      <c r="K88" s="13">
        <f t="shared" si="6"/>
        <v>1</v>
      </c>
      <c r="L88" s="13">
        <f>IF(K88=1,COUNTIFS($A$5:A88,A88,$B$5:B88,B88,$K$5:K88,1),0)</f>
        <v>2</v>
      </c>
      <c r="M88" s="13" t="str">
        <f t="shared" si="7"/>
        <v>5-4-2</v>
      </c>
      <c r="N88" s="13" t="str">
        <f t="shared" si="8"/>
        <v>Costas-Composto-4</v>
      </c>
      <c r="O88" s="13" t="str">
        <f>IF(K88=1,INDEX(Exercicios!$B$5:$B$75,MATCH(N88,Exercicios!$I$5:$I$75,0)),"")</f>
        <v>Remada baixa na polia (triângulo)</v>
      </c>
    </row>
    <row r="89" spans="1:15" x14ac:dyDescent="0.3">
      <c r="A89" s="20">
        <v>5</v>
      </c>
      <c r="B89" s="20">
        <v>4</v>
      </c>
      <c r="C89" s="9" t="s">
        <v>198</v>
      </c>
      <c r="D89" s="9" t="s">
        <v>34</v>
      </c>
      <c r="E89" s="9" t="s">
        <v>183</v>
      </c>
      <c r="F89" s="9" t="s">
        <v>126</v>
      </c>
      <c r="G89" s="9" t="s">
        <v>184</v>
      </c>
      <c r="H89" s="13">
        <f>IF(AND(A89=Gerador!$B$20,MATCH(F89,Niveis!$A$5:$A$7,0)&lt;=MATCH(Gerador!$B$19,Niveis!$A$5:$A$7,0),OR(G89="Todos",G89=Gerador!$B$21)),1,0)</f>
        <v>1</v>
      </c>
      <c r="I89" s="13">
        <f>IF(H89=1,COUNTIFS($D$5:D89,D89,$E$5:E89,E89,$H$5:H89,1),0)</f>
        <v>2</v>
      </c>
      <c r="J89" s="13">
        <f>COUNTIFS(Exercicios!$C$5:$C$75,D89,Exercicios!$F$5:$F$75,E89,Exercicios!$H$5:$H$75,"Sim")</f>
        <v>3</v>
      </c>
      <c r="K89" s="13">
        <f t="shared" si="6"/>
        <v>1</v>
      </c>
      <c r="L89" s="13">
        <f>IF(K89=1,COUNTIFS($A$5:A89,A89,$B$5:B89,B89,$K$5:K89,1),0)</f>
        <v>3</v>
      </c>
      <c r="M89" s="13" t="str">
        <f t="shared" si="7"/>
        <v>5-4-3</v>
      </c>
      <c r="N89" s="13" t="str">
        <f t="shared" si="8"/>
        <v>Ombros-Composto-2</v>
      </c>
      <c r="O89" s="13" t="str">
        <f>IF(K89=1,INDEX(Exercicios!$B$5:$B$75,MATCH(N89,Exercicios!$I$5:$I$75,0)),"")</f>
        <v>Desenvolvimento com halteres</v>
      </c>
    </row>
    <row r="90" spans="1:15" x14ac:dyDescent="0.3">
      <c r="A90" s="20">
        <v>5</v>
      </c>
      <c r="B90" s="20">
        <v>4</v>
      </c>
      <c r="C90" s="9" t="s">
        <v>198</v>
      </c>
      <c r="D90" s="9" t="s">
        <v>39</v>
      </c>
      <c r="E90" s="9" t="s">
        <v>185</v>
      </c>
      <c r="F90" s="9" t="s">
        <v>126</v>
      </c>
      <c r="G90" s="9" t="s">
        <v>184</v>
      </c>
      <c r="H90" s="13">
        <f>IF(AND(A90=Gerador!$B$20,MATCH(F90,Niveis!$A$5:$A$7,0)&lt;=MATCH(Gerador!$B$19,Niveis!$A$5:$A$7,0),OR(G90="Todos",G90=Gerador!$B$21)),1,0)</f>
        <v>1</v>
      </c>
      <c r="I90" s="13">
        <f>IF(H90=1,COUNTIFS($D$5:D90,D90,$E$5:E90,E90,$H$5:H90,1),0)</f>
        <v>3</v>
      </c>
      <c r="J90" s="13">
        <f>COUNTIFS(Exercicios!$C$5:$C$75,D90,Exercicios!$F$5:$F$75,E90,Exercicios!$H$5:$H$75,"Sim")</f>
        <v>5</v>
      </c>
      <c r="K90" s="13">
        <f t="shared" si="6"/>
        <v>1</v>
      </c>
      <c r="L90" s="13">
        <f>IF(K90=1,COUNTIFS($A$5:A90,A90,$B$5:B90,B90,$K$5:K90,1),0)</f>
        <v>4</v>
      </c>
      <c r="M90" s="13" t="str">
        <f t="shared" si="7"/>
        <v>5-4-4</v>
      </c>
      <c r="N90" s="13" t="str">
        <f t="shared" si="8"/>
        <v>Bíceps-Isolado-3</v>
      </c>
      <c r="O90" s="13" t="str">
        <f>IF(K90=1,INDEX(Exercicios!$B$5:$B$75,MATCH(N90,Exercicios!$I$5:$I$75,0)),"")</f>
        <v>Rosca martelo</v>
      </c>
    </row>
    <row r="91" spans="1:15" x14ac:dyDescent="0.3">
      <c r="A91" s="20">
        <v>5</v>
      </c>
      <c r="B91" s="20">
        <v>4</v>
      </c>
      <c r="C91" s="9" t="s">
        <v>198</v>
      </c>
      <c r="D91" s="9" t="s">
        <v>42</v>
      </c>
      <c r="E91" s="9" t="s">
        <v>185</v>
      </c>
      <c r="F91" s="9" t="s">
        <v>126</v>
      </c>
      <c r="G91" s="9" t="s">
        <v>184</v>
      </c>
      <c r="H91" s="13">
        <f>IF(AND(A91=Gerador!$B$20,MATCH(F91,Niveis!$A$5:$A$7,0)&lt;=MATCH(Gerador!$B$19,Niveis!$A$5:$A$7,0),OR(G91="Todos",G91=Gerador!$B$21)),1,0)</f>
        <v>1</v>
      </c>
      <c r="I91" s="13">
        <f>IF(H91=1,COUNTIFS($D$5:D91,D91,$E$5:E91,E91,$H$5:H91,1),0)</f>
        <v>2</v>
      </c>
      <c r="J91" s="13">
        <f>COUNTIFS(Exercicios!$C$5:$C$75,D91,Exercicios!$F$5:$F$75,E91,Exercicios!$H$5:$H$75,"Sim")</f>
        <v>3</v>
      </c>
      <c r="K91" s="13">
        <f t="shared" si="6"/>
        <v>1</v>
      </c>
      <c r="L91" s="13">
        <f>IF(K91=1,COUNTIFS($A$5:A91,A91,$B$5:B91,B91,$K$5:K91,1),0)</f>
        <v>5</v>
      </c>
      <c r="M91" s="13" t="str">
        <f t="shared" si="7"/>
        <v>5-4-5</v>
      </c>
      <c r="N91" s="13" t="str">
        <f t="shared" si="8"/>
        <v>Tríceps-Isolado-2</v>
      </c>
      <c r="O91" s="13" t="str">
        <f>IF(K91=1,INDEX(Exercicios!$B$5:$B$75,MATCH(N91,Exercicios!$I$5:$I$75,0)),"")</f>
        <v>Tríceps testa</v>
      </c>
    </row>
    <row r="92" spans="1:15" x14ac:dyDescent="0.3">
      <c r="A92" s="20">
        <v>5</v>
      </c>
      <c r="B92" s="20">
        <v>4</v>
      </c>
      <c r="C92" s="9" t="s">
        <v>198</v>
      </c>
      <c r="D92" s="9" t="s">
        <v>48</v>
      </c>
      <c r="E92" s="9" t="s">
        <v>185</v>
      </c>
      <c r="F92" s="9" t="s">
        <v>126</v>
      </c>
      <c r="G92" s="9" t="s">
        <v>184</v>
      </c>
      <c r="H92" s="13">
        <f>IF(AND(A92=Gerador!$B$20,MATCH(F92,Niveis!$A$5:$A$7,0)&lt;=MATCH(Gerador!$B$19,Niveis!$A$5:$A$7,0),OR(G92="Todos",G92=Gerador!$B$21)),1,0)</f>
        <v>1</v>
      </c>
      <c r="I92" s="13">
        <f>IF(H92=1,COUNTIFS($D$5:D92,D92,$E$5:E92,E92,$H$5:H92,1),0)</f>
        <v>1</v>
      </c>
      <c r="J92" s="13">
        <f>COUNTIFS(Exercicios!$C$5:$C$75,D92,Exercicios!$F$5:$F$75,E92,Exercicios!$H$5:$H$75,"Sim")</f>
        <v>6</v>
      </c>
      <c r="K92" s="13">
        <f t="shared" si="6"/>
        <v>1</v>
      </c>
      <c r="L92" s="13">
        <f>IF(K92=1,COUNTIFS($A$5:A92,A92,$B$5:B92,B92,$K$5:K92,1),0)</f>
        <v>6</v>
      </c>
      <c r="M92" s="13" t="str">
        <f t="shared" si="7"/>
        <v>5-4-6</v>
      </c>
      <c r="N92" s="13" t="str">
        <f t="shared" si="8"/>
        <v>Abdômen-Isolado-1</v>
      </c>
      <c r="O92" s="13" t="str">
        <f>IF(K92=1,INDEX(Exercicios!$B$5:$B$75,MATCH(N92,Exercicios!$I$5:$I$75,0)),"")</f>
        <v>Abdominal na polia (ajoelhado)</v>
      </c>
    </row>
    <row r="93" spans="1:15" x14ac:dyDescent="0.3">
      <c r="A93" s="20">
        <v>5</v>
      </c>
      <c r="B93" s="20">
        <v>4</v>
      </c>
      <c r="C93" s="9" t="s">
        <v>198</v>
      </c>
      <c r="D93" s="9" t="s">
        <v>29</v>
      </c>
      <c r="E93" s="9" t="s">
        <v>185</v>
      </c>
      <c r="F93" s="9" t="s">
        <v>126</v>
      </c>
      <c r="G93" s="9" t="s">
        <v>186</v>
      </c>
      <c r="H93" s="13">
        <f>IF(AND(A93=Gerador!$B$20,MATCH(F93,Niveis!$A$5:$A$7,0)&lt;=MATCH(Gerador!$B$19,Niveis!$A$5:$A$7,0),OR(G93="Todos",G93=Gerador!$B$21)),1,0)</f>
        <v>1</v>
      </c>
      <c r="I93" s="13">
        <f>IF(H93=1,COUNTIFS($D$5:D93,D93,$E$5:E93,E93,$H$5:H93,1),0)</f>
        <v>2</v>
      </c>
      <c r="J93" s="13">
        <f>COUNTIFS(Exercicios!$C$5:$C$75,D93,Exercicios!$F$5:$F$75,E93,Exercicios!$H$5:$H$75,"Sim")</f>
        <v>3</v>
      </c>
      <c r="K93" s="13">
        <f t="shared" si="6"/>
        <v>1</v>
      </c>
      <c r="L93" s="13">
        <f>IF(K93=1,COUNTIFS($A$5:A93,A93,$B$5:B93,B93,$K$5:K93,1),0)</f>
        <v>7</v>
      </c>
      <c r="M93" s="13" t="str">
        <f t="shared" si="7"/>
        <v>5-4-7</v>
      </c>
      <c r="N93" s="13" t="str">
        <f t="shared" si="8"/>
        <v>Peito-Isolado-2</v>
      </c>
      <c r="O93" s="13" t="str">
        <f>IF(K93=1,INDEX(Exercicios!$B$5:$B$75,MATCH(N93,Exercicios!$I$5:$I$75,0)),"")</f>
        <v>Crucifixo com halteres</v>
      </c>
    </row>
    <row r="94" spans="1:15" x14ac:dyDescent="0.3">
      <c r="A94" s="20">
        <v>5</v>
      </c>
      <c r="B94" s="20">
        <v>4</v>
      </c>
      <c r="C94" s="9" t="s">
        <v>198</v>
      </c>
      <c r="D94" s="9" t="s">
        <v>34</v>
      </c>
      <c r="E94" s="9" t="s">
        <v>185</v>
      </c>
      <c r="F94" s="9" t="s">
        <v>126</v>
      </c>
      <c r="G94" s="9" t="s">
        <v>187</v>
      </c>
      <c r="H94" s="13">
        <f>IF(AND(A94=Gerador!$B$20,MATCH(F94,Niveis!$A$5:$A$7,0)&lt;=MATCH(Gerador!$B$19,Niveis!$A$5:$A$7,0),OR(G94="Todos",G94=Gerador!$B$21)),1,0)</f>
        <v>0</v>
      </c>
      <c r="I94" s="13">
        <f>IF(H94=1,COUNTIFS($D$5:D94,D94,$E$5:E94,E94,$H$5:H94,1),0)</f>
        <v>0</v>
      </c>
      <c r="J94" s="13">
        <f>COUNTIFS(Exercicios!$C$5:$C$75,D94,Exercicios!$F$5:$F$75,E94,Exercicios!$H$5:$H$75,"Sim")</f>
        <v>5</v>
      </c>
      <c r="K94" s="13">
        <f t="shared" si="6"/>
        <v>0</v>
      </c>
      <c r="L94" s="13">
        <f>IF(K94=1,COUNTIFS($A$5:A94,A94,$B$5:B94,B94,$K$5:K94,1),0)</f>
        <v>0</v>
      </c>
      <c r="M94" s="13" t="str">
        <f t="shared" si="7"/>
        <v/>
      </c>
      <c r="N94" s="13" t="str">
        <f t="shared" si="8"/>
        <v/>
      </c>
      <c r="O94" s="13" t="str">
        <f>IF(K94=1,INDEX(Exercicios!$B$5:$B$75,MATCH(N94,Exercicios!$I$5:$I$75,0)),"")</f>
        <v/>
      </c>
    </row>
    <row r="95" spans="1:15" x14ac:dyDescent="0.3">
      <c r="A95" s="20">
        <v>5</v>
      </c>
      <c r="B95" s="20">
        <v>4</v>
      </c>
      <c r="C95" s="9" t="s">
        <v>198</v>
      </c>
      <c r="D95" s="9" t="s">
        <v>52</v>
      </c>
      <c r="E95" s="9" t="s">
        <v>185</v>
      </c>
      <c r="F95" s="9" t="s">
        <v>126</v>
      </c>
      <c r="G95" s="9" t="s">
        <v>188</v>
      </c>
      <c r="H95" s="13">
        <f>IF(AND(A95=Gerador!$B$20,MATCH(F95,Niveis!$A$5:$A$7,0)&lt;=MATCH(Gerador!$B$19,Niveis!$A$5:$A$7,0),OR(G95="Todos",G95=Gerador!$B$21)),1,0)</f>
        <v>0</v>
      </c>
      <c r="I95" s="13">
        <f>IF(H95=1,COUNTIFS($D$5:D95,D95,$E$5:E95,E95,$H$5:H95,1),0)</f>
        <v>0</v>
      </c>
      <c r="J95" s="13">
        <f>COUNTIFS(Exercicios!$C$5:$C$75,D95,Exercicios!$F$5:$F$75,E95,Exercicios!$H$5:$H$75,"Sim")</f>
        <v>2</v>
      </c>
      <c r="K95" s="13">
        <f t="shared" si="6"/>
        <v>0</v>
      </c>
      <c r="L95" s="13">
        <f>IF(K95=1,COUNTIFS($A$5:A95,A95,$B$5:B95,B95,$K$5:K95,1),0)</f>
        <v>0</v>
      </c>
      <c r="M95" s="13" t="str">
        <f t="shared" si="7"/>
        <v/>
      </c>
      <c r="N95" s="13" t="str">
        <f t="shared" si="8"/>
        <v/>
      </c>
      <c r="O95" s="13" t="str">
        <f>IF(K95=1,INDEX(Exercicios!$B$5:$B$75,MATCH(N95,Exercicios!$I$5:$I$75,0)),"")</f>
        <v/>
      </c>
    </row>
    <row r="96" spans="1:15" x14ac:dyDescent="0.3">
      <c r="A96" s="20">
        <v>5</v>
      </c>
      <c r="B96" s="20">
        <v>5</v>
      </c>
      <c r="C96" s="9" t="s">
        <v>199</v>
      </c>
      <c r="D96" s="9" t="s">
        <v>44</v>
      </c>
      <c r="E96" s="9" t="s">
        <v>183</v>
      </c>
      <c r="F96" s="9" t="s">
        <v>126</v>
      </c>
      <c r="G96" s="9" t="s">
        <v>184</v>
      </c>
      <c r="H96" s="13">
        <f>IF(AND(A96=Gerador!$B$20,MATCH(F96,Niveis!$A$5:$A$7,0)&lt;=MATCH(Gerador!$B$19,Niveis!$A$5:$A$7,0),OR(G96="Todos",G96=Gerador!$B$21)),1,0)</f>
        <v>1</v>
      </c>
      <c r="I96" s="13">
        <f>IF(H96=1,COUNTIFS($D$5:D96,D96,$E$5:E96,E96,$H$5:H96,1),0)</f>
        <v>3</v>
      </c>
      <c r="J96" s="13">
        <f>COUNTIFS(Exercicios!$C$5:$C$75,D96,Exercicios!$F$5:$F$75,E96,Exercicios!$H$5:$H$75,"Sim")</f>
        <v>8</v>
      </c>
      <c r="K96" s="13">
        <f t="shared" si="6"/>
        <v>1</v>
      </c>
      <c r="L96" s="13">
        <f>IF(K96=1,COUNTIFS($A$5:A96,A96,$B$5:B96,B96,$K$5:K96,1),0)</f>
        <v>1</v>
      </c>
      <c r="M96" s="13" t="str">
        <f t="shared" si="7"/>
        <v>5-5-1</v>
      </c>
      <c r="N96" s="13" t="str">
        <f t="shared" si="8"/>
        <v>Quadríceps-Composto-3</v>
      </c>
      <c r="O96" s="13" t="str">
        <f>IF(K96=1,INDEX(Exercicios!$B$5:$B$75,MATCH(N96,Exercicios!$I$5:$I$75,0)),"")</f>
        <v>Hack squat</v>
      </c>
    </row>
    <row r="97" spans="1:15" x14ac:dyDescent="0.3">
      <c r="A97" s="20">
        <v>5</v>
      </c>
      <c r="B97" s="20">
        <v>5</v>
      </c>
      <c r="C97" s="9" t="s">
        <v>199</v>
      </c>
      <c r="D97" s="9" t="s">
        <v>45</v>
      </c>
      <c r="E97" s="9" t="s">
        <v>183</v>
      </c>
      <c r="F97" s="9" t="s">
        <v>126</v>
      </c>
      <c r="G97" s="9" t="s">
        <v>184</v>
      </c>
      <c r="H97" s="13">
        <f>IF(AND(A97=Gerador!$B$20,MATCH(F97,Niveis!$A$5:$A$7,0)&lt;=MATCH(Gerador!$B$19,Niveis!$A$5:$A$7,0),OR(G97="Todos",G97=Gerador!$B$21)),1,0)</f>
        <v>1</v>
      </c>
      <c r="I97" s="13">
        <f>IF(H97=1,COUNTIFS($D$5:D97,D97,$E$5:E97,E97,$H$5:H97,1),0)</f>
        <v>2</v>
      </c>
      <c r="J97" s="13">
        <f>COUNTIFS(Exercicios!$C$5:$C$75,D97,Exercicios!$F$5:$F$75,E97,Exercicios!$H$5:$H$75,"Sim")</f>
        <v>4</v>
      </c>
      <c r="K97" s="13">
        <f t="shared" si="6"/>
        <v>1</v>
      </c>
      <c r="L97" s="13">
        <f>IF(K97=1,COUNTIFS($A$5:A97,A97,$B$5:B97,B97,$K$5:K97,1),0)</f>
        <v>2</v>
      </c>
      <c r="M97" s="13" t="str">
        <f t="shared" si="7"/>
        <v>5-5-2</v>
      </c>
      <c r="N97" s="13" t="str">
        <f t="shared" si="8"/>
        <v>Posterior de coxa-Composto-2</v>
      </c>
      <c r="O97" s="13" t="str">
        <f>IF(K97=1,INDEX(Exercicios!$B$5:$B$75,MATCH(N97,Exercicios!$I$5:$I$75,0)),"")</f>
        <v>Levantamento terra convencional</v>
      </c>
    </row>
    <row r="98" spans="1:15" x14ac:dyDescent="0.3">
      <c r="A98" s="20">
        <v>5</v>
      </c>
      <c r="B98" s="20">
        <v>5</v>
      </c>
      <c r="C98" s="9" t="s">
        <v>199</v>
      </c>
      <c r="D98" s="9" t="s">
        <v>46</v>
      </c>
      <c r="E98" s="9" t="s">
        <v>183</v>
      </c>
      <c r="F98" s="9" t="s">
        <v>126</v>
      </c>
      <c r="G98" s="9" t="s">
        <v>184</v>
      </c>
      <c r="H98" s="13">
        <f>IF(AND(A98=Gerador!$B$20,MATCH(F98,Niveis!$A$5:$A$7,0)&lt;=MATCH(Gerador!$B$19,Niveis!$A$5:$A$7,0),OR(G98="Todos",G98=Gerador!$B$21)),1,0)</f>
        <v>1</v>
      </c>
      <c r="I98" s="13">
        <f>IF(H98=1,COUNTIFS($D$5:D98,D98,$E$5:E98,E98,$H$5:H98,1),0)</f>
        <v>2</v>
      </c>
      <c r="J98" s="13">
        <f>COUNTIFS(Exercicios!$C$5:$C$75,D98,Exercicios!$F$5:$F$75,E98,Exercicios!$H$5:$H$75,"Sim")</f>
        <v>3</v>
      </c>
      <c r="K98" s="13">
        <f t="shared" si="6"/>
        <v>1</v>
      </c>
      <c r="L98" s="13">
        <f>IF(K98=1,COUNTIFS($A$5:A98,A98,$B$5:B98,B98,$K$5:K98,1),0)</f>
        <v>3</v>
      </c>
      <c r="M98" s="13" t="str">
        <f t="shared" si="7"/>
        <v>5-5-3</v>
      </c>
      <c r="N98" s="13" t="str">
        <f t="shared" si="8"/>
        <v>Glúteos-Composto-2</v>
      </c>
      <c r="O98" s="13" t="str">
        <f>IF(K98=1,INDEX(Exercicios!$B$5:$B$75,MATCH(N98,Exercicios!$I$5:$I$75,0)),"")</f>
        <v>Ponte de glúteos (peso do corpo)</v>
      </c>
    </row>
    <row r="99" spans="1:15" x14ac:dyDescent="0.3">
      <c r="A99" s="20">
        <v>5</v>
      </c>
      <c r="B99" s="20">
        <v>5</v>
      </c>
      <c r="C99" s="9" t="s">
        <v>199</v>
      </c>
      <c r="D99" s="9" t="s">
        <v>45</v>
      </c>
      <c r="E99" s="9" t="s">
        <v>185</v>
      </c>
      <c r="F99" s="9" t="s">
        <v>126</v>
      </c>
      <c r="G99" s="9" t="s">
        <v>184</v>
      </c>
      <c r="H99" s="13">
        <f>IF(AND(A99=Gerador!$B$20,MATCH(F99,Niveis!$A$5:$A$7,0)&lt;=MATCH(Gerador!$B$19,Niveis!$A$5:$A$7,0),OR(G99="Todos",G99=Gerador!$B$21)),1,0)</f>
        <v>1</v>
      </c>
      <c r="I99" s="13">
        <f>IF(H99=1,COUNTIFS($D$5:D99,D99,$E$5:E99,E99,$H$5:H99,1),0)</f>
        <v>2</v>
      </c>
      <c r="J99" s="13">
        <f>COUNTIFS(Exercicios!$C$5:$C$75,D99,Exercicios!$F$5:$F$75,E99,Exercicios!$H$5:$H$75,"Sim")</f>
        <v>2</v>
      </c>
      <c r="K99" s="13">
        <f t="shared" si="6"/>
        <v>1</v>
      </c>
      <c r="L99" s="13">
        <f>IF(K99=1,COUNTIFS($A$5:A99,A99,$B$5:B99,B99,$K$5:K99,1),0)</f>
        <v>4</v>
      </c>
      <c r="M99" s="13" t="str">
        <f t="shared" si="7"/>
        <v>5-5-4</v>
      </c>
      <c r="N99" s="13" t="str">
        <f t="shared" si="8"/>
        <v>Posterior de coxa-Isolado-2</v>
      </c>
      <c r="O99" s="13" t="str">
        <f>IF(K99=1,INDEX(Exercicios!$B$5:$B$75,MATCH(N99,Exercicios!$I$5:$I$75,0)),"")</f>
        <v>Cadeira flexora</v>
      </c>
    </row>
    <row r="100" spans="1:15" x14ac:dyDescent="0.3">
      <c r="A100" s="20">
        <v>5</v>
      </c>
      <c r="B100" s="20">
        <v>5</v>
      </c>
      <c r="C100" s="9" t="s">
        <v>199</v>
      </c>
      <c r="D100" s="9" t="s">
        <v>46</v>
      </c>
      <c r="E100" s="9" t="s">
        <v>185</v>
      </c>
      <c r="F100" s="9" t="s">
        <v>126</v>
      </c>
      <c r="G100" s="9" t="s">
        <v>184</v>
      </c>
      <c r="H100" s="13">
        <f>IF(AND(A100=Gerador!$B$20,MATCH(F100,Niveis!$A$5:$A$7,0)&lt;=MATCH(Gerador!$B$19,Niveis!$A$5:$A$7,0),OR(G100="Todos",G100=Gerador!$B$21)),1,0)</f>
        <v>1</v>
      </c>
      <c r="I100" s="13">
        <f>IF(H100=1,COUNTIFS($D$5:D100,D100,$E$5:E100,E100,$H$5:H100,1),0)</f>
        <v>2</v>
      </c>
      <c r="J100" s="13">
        <f>COUNTIFS(Exercicios!$C$5:$C$75,D100,Exercicios!$F$5:$F$75,E100,Exercicios!$H$5:$H$75,"Sim")</f>
        <v>3</v>
      </c>
      <c r="K100" s="13">
        <f t="shared" si="6"/>
        <v>1</v>
      </c>
      <c r="L100" s="13">
        <f>IF(K100=1,COUNTIFS($A$5:A100,A100,$B$5:B100,B100,$K$5:K100,1),0)</f>
        <v>5</v>
      </c>
      <c r="M100" s="13" t="str">
        <f t="shared" si="7"/>
        <v>5-5-5</v>
      </c>
      <c r="N100" s="13" t="str">
        <f t="shared" si="8"/>
        <v>Glúteos-Isolado-2</v>
      </c>
      <c r="O100" s="13" t="str">
        <f>IF(K100=1,INDEX(Exercicios!$B$5:$B$75,MATCH(N100,Exercicios!$I$5:$I$75,0)),"")</f>
        <v>Cadeira abdutora</v>
      </c>
    </row>
    <row r="101" spans="1:15" x14ac:dyDescent="0.3">
      <c r="A101" s="20">
        <v>5</v>
      </c>
      <c r="B101" s="20">
        <v>5</v>
      </c>
      <c r="C101" s="9" t="s">
        <v>199</v>
      </c>
      <c r="D101" s="9" t="s">
        <v>48</v>
      </c>
      <c r="E101" s="9" t="s">
        <v>185</v>
      </c>
      <c r="F101" s="9" t="s">
        <v>126</v>
      </c>
      <c r="G101" s="9" t="s">
        <v>184</v>
      </c>
      <c r="H101" s="13">
        <f>IF(AND(A101=Gerador!$B$20,MATCH(F101,Niveis!$A$5:$A$7,0)&lt;=MATCH(Gerador!$B$19,Niveis!$A$5:$A$7,0),OR(G101="Todos",G101=Gerador!$B$21)),1,0)</f>
        <v>1</v>
      </c>
      <c r="I101" s="13">
        <f>IF(H101=1,COUNTIFS($D$5:D101,D101,$E$5:E101,E101,$H$5:H101,1),0)</f>
        <v>2</v>
      </c>
      <c r="J101" s="13">
        <f>COUNTIFS(Exercicios!$C$5:$C$75,D101,Exercicios!$F$5:$F$75,E101,Exercicios!$H$5:$H$75,"Sim")</f>
        <v>6</v>
      </c>
      <c r="K101" s="13">
        <f t="shared" ref="K101:K132" si="9">IF(AND(H101=1,I101&lt;=J101),1,0)</f>
        <v>1</v>
      </c>
      <c r="L101" s="13">
        <f>IF(K101=1,COUNTIFS($A$5:A101,A101,$B$5:B101,B101,$K$5:K101,1),0)</f>
        <v>6</v>
      </c>
      <c r="M101" s="13" t="str">
        <f t="shared" ref="M101:M132" si="10">IF(K101=1,A101&amp;"-"&amp;B101&amp;"-"&amp;L101,"")</f>
        <v>5-5-6</v>
      </c>
      <c r="N101" s="13" t="str">
        <f t="shared" si="8"/>
        <v>Abdômen-Isolado-2</v>
      </c>
      <c r="O101" s="13" t="str">
        <f>IF(K101=1,INDEX(Exercicios!$B$5:$B$75,MATCH(N101,Exercicios!$I$5:$I$75,0)),"")</f>
        <v>Elevação de pernas na barra fixa</v>
      </c>
    </row>
    <row r="102" spans="1:15" x14ac:dyDescent="0.3">
      <c r="A102" s="20">
        <v>5</v>
      </c>
      <c r="B102" s="20">
        <v>5</v>
      </c>
      <c r="C102" s="9" t="s">
        <v>199</v>
      </c>
      <c r="D102" s="9" t="s">
        <v>49</v>
      </c>
      <c r="E102" s="9" t="s">
        <v>185</v>
      </c>
      <c r="F102" s="9" t="s">
        <v>126</v>
      </c>
      <c r="G102" s="9" t="s">
        <v>184</v>
      </c>
      <c r="H102" s="13">
        <f>IF(AND(A102=Gerador!$B$20,MATCH(F102,Niveis!$A$5:$A$7,0)&lt;=MATCH(Gerador!$B$19,Niveis!$A$5:$A$7,0),OR(G102="Todos",G102=Gerador!$B$21)),1,0)</f>
        <v>1</v>
      </c>
      <c r="I102" s="13">
        <f>IF(H102=1,COUNTIFS($D$5:D102,D102,$E$5:E102,E102,$H$5:H102,1),0)</f>
        <v>1</v>
      </c>
      <c r="J102" s="13">
        <f>COUNTIFS(Exercicios!$C$5:$C$75,D102,Exercicios!$F$5:$F$75,E102,Exercicios!$H$5:$H$75,"Sim")</f>
        <v>2</v>
      </c>
      <c r="K102" s="13">
        <f t="shared" si="9"/>
        <v>1</v>
      </c>
      <c r="L102" s="13">
        <f>IF(K102=1,COUNTIFS($A$5:A102,A102,$B$5:B102,B102,$K$5:K102,1),0)</f>
        <v>7</v>
      </c>
      <c r="M102" s="13" t="str">
        <f t="shared" si="10"/>
        <v>5-5-7</v>
      </c>
      <c r="N102" s="13" t="str">
        <f t="shared" si="8"/>
        <v>Lombar-Isolado-1</v>
      </c>
      <c r="O102" s="13" t="str">
        <f>IF(K102=1,INDEX(Exercicios!$B$5:$B$75,MATCH(N102,Exercicios!$I$5:$I$75,0)),"")</f>
        <v>Extensão lombar (banco 45°)</v>
      </c>
    </row>
    <row r="103" spans="1:15" x14ac:dyDescent="0.3">
      <c r="A103" s="20">
        <v>5</v>
      </c>
      <c r="B103" s="20">
        <v>5</v>
      </c>
      <c r="C103" s="9" t="s">
        <v>199</v>
      </c>
      <c r="D103" s="9" t="s">
        <v>47</v>
      </c>
      <c r="E103" s="9" t="s">
        <v>185</v>
      </c>
      <c r="F103" s="9" t="s">
        <v>126</v>
      </c>
      <c r="G103" s="9" t="s">
        <v>186</v>
      </c>
      <c r="H103" s="13">
        <f>IF(AND(A103=Gerador!$B$20,MATCH(F103,Niveis!$A$5:$A$7,0)&lt;=MATCH(Gerador!$B$19,Niveis!$A$5:$A$7,0),OR(G103="Todos",G103=Gerador!$B$21)),1,0)</f>
        <v>1</v>
      </c>
      <c r="I103" s="13">
        <f>IF(H103=1,COUNTIFS($D$5:D103,D103,$E$5:E103,E103,$H$5:H103,1),0)</f>
        <v>3</v>
      </c>
      <c r="J103" s="13">
        <f>COUNTIFS(Exercicios!$C$5:$C$75,D103,Exercicios!$F$5:$F$75,E103,Exercicios!$H$5:$H$75,"Sim")</f>
        <v>3</v>
      </c>
      <c r="K103" s="13">
        <f t="shared" si="9"/>
        <v>1</v>
      </c>
      <c r="L103" s="13">
        <f>IF(K103=1,COUNTIFS($A$5:A103,A103,$B$5:B103,B103,$K$5:K103,1),0)</f>
        <v>8</v>
      </c>
      <c r="M103" s="13" t="str">
        <f t="shared" si="10"/>
        <v>5-5-8</v>
      </c>
      <c r="N103" s="13" t="str">
        <f t="shared" si="8"/>
        <v>Panturrilha-Isolado-3</v>
      </c>
      <c r="O103" s="13" t="str">
        <f>IF(K103=1,INDEX(Exercicios!$B$5:$B$75,MATCH(N103,Exercicios!$I$5:$I$75,0)),"")</f>
        <v>Panturrilha no leg press</v>
      </c>
    </row>
    <row r="104" spans="1:15" x14ac:dyDescent="0.3">
      <c r="A104" s="20">
        <v>5</v>
      </c>
      <c r="B104" s="20">
        <v>5</v>
      </c>
      <c r="C104" s="9" t="s">
        <v>199</v>
      </c>
      <c r="D104" s="9" t="s">
        <v>46</v>
      </c>
      <c r="E104" s="9" t="s">
        <v>185</v>
      </c>
      <c r="F104" s="9" t="s">
        <v>126</v>
      </c>
      <c r="G104" s="9" t="s">
        <v>187</v>
      </c>
      <c r="H104" s="13">
        <f>IF(AND(A104=Gerador!$B$20,MATCH(F104,Niveis!$A$5:$A$7,0)&lt;=MATCH(Gerador!$B$19,Niveis!$A$5:$A$7,0),OR(G104="Todos",G104=Gerador!$B$21)),1,0)</f>
        <v>0</v>
      </c>
      <c r="I104" s="13">
        <f>IF(H104=1,COUNTIFS($D$5:D104,D104,$E$5:E104,E104,$H$5:H104,1),0)</f>
        <v>0</v>
      </c>
      <c r="J104" s="13">
        <f>COUNTIFS(Exercicios!$C$5:$C$75,D104,Exercicios!$F$5:$F$75,E104,Exercicios!$H$5:$H$75,"Sim")</f>
        <v>3</v>
      </c>
      <c r="K104" s="13">
        <f t="shared" si="9"/>
        <v>0</v>
      </c>
      <c r="L104" s="13">
        <f>IF(K104=1,COUNTIFS($A$5:A104,A104,$B$5:B104,B104,$K$5:K104,1),0)</f>
        <v>0</v>
      </c>
      <c r="M104" s="13" t="str">
        <f t="shared" si="10"/>
        <v/>
      </c>
      <c r="N104" s="13" t="str">
        <f t="shared" si="8"/>
        <v/>
      </c>
      <c r="O104" s="13" t="str">
        <f>IF(K104=1,INDEX(Exercicios!$B$5:$B$75,MATCH(N104,Exercicios!$I$5:$I$75,0)),"")</f>
        <v/>
      </c>
    </row>
    <row r="105" spans="1:15" x14ac:dyDescent="0.3">
      <c r="A105" s="20">
        <v>5</v>
      </c>
      <c r="B105" s="20">
        <v>5</v>
      </c>
      <c r="C105" s="9" t="s">
        <v>199</v>
      </c>
      <c r="D105" s="9" t="s">
        <v>48</v>
      </c>
      <c r="E105" s="9" t="s">
        <v>185</v>
      </c>
      <c r="F105" s="9" t="s">
        <v>126</v>
      </c>
      <c r="G105" s="9" t="s">
        <v>188</v>
      </c>
      <c r="H105" s="13">
        <f>IF(AND(A105=Gerador!$B$20,MATCH(F105,Niveis!$A$5:$A$7,0)&lt;=MATCH(Gerador!$B$19,Niveis!$A$5:$A$7,0),OR(G105="Todos",G105=Gerador!$B$21)),1,0)</f>
        <v>0</v>
      </c>
      <c r="I105" s="13">
        <f>IF(H105=1,COUNTIFS($D$5:D105,D105,$E$5:E105,E105,$H$5:H105,1),0)</f>
        <v>0</v>
      </c>
      <c r="J105" s="13">
        <f>COUNTIFS(Exercicios!$C$5:$C$75,D105,Exercicios!$F$5:$F$75,E105,Exercicios!$H$5:$H$75,"Sim")</f>
        <v>6</v>
      </c>
      <c r="K105" s="13">
        <f t="shared" si="9"/>
        <v>0</v>
      </c>
      <c r="L105" s="13">
        <f>IF(K105=1,COUNTIFS($A$5:A105,A105,$B$5:B105,B105,$K$5:K105,1),0)</f>
        <v>0</v>
      </c>
      <c r="M105" s="13" t="str">
        <f t="shared" si="10"/>
        <v/>
      </c>
      <c r="N105" s="13" t="str">
        <f t="shared" si="8"/>
        <v/>
      </c>
      <c r="O105" s="13" t="str">
        <f>IF(K105=1,INDEX(Exercicios!$B$5:$B$75,MATCH(N105,Exercicios!$I$5:$I$75,0)),"")</f>
        <v/>
      </c>
    </row>
  </sheetData>
  <autoFilter ref="A4:O105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46" customWidth="1"/>
    <col min="3" max="3" width="18" customWidth="1"/>
    <col min="4" max="4" width="28" customWidth="1"/>
    <col min="5" max="5" width="22" customWidth="1"/>
    <col min="6" max="6" width="11" customWidth="1"/>
    <col min="7" max="7" width="14" customWidth="1"/>
    <col min="8" max="8" width="16" customWidth="1"/>
    <col min="9" max="9" width="22" customWidth="1"/>
    <col min="10" max="10" width="3" customWidth="1"/>
    <col min="11" max="11" width="20" customWidth="1"/>
    <col min="12" max="12" width="9" customWidth="1"/>
    <col min="13" max="13" width="16" customWidth="1"/>
  </cols>
  <sheetData>
    <row r="1" spans="1:13" ht="17.399999999999999" x14ac:dyDescent="0.3">
      <c r="A1" s="1" t="s">
        <v>200</v>
      </c>
    </row>
    <row r="2" spans="1:13" x14ac:dyDescent="0.3">
      <c r="A2" s="4" t="s">
        <v>201</v>
      </c>
    </row>
    <row r="4" spans="1:13" ht="39.75" customHeight="1" x14ac:dyDescent="0.3">
      <c r="A4" s="8" t="s">
        <v>68</v>
      </c>
      <c r="B4" s="8" t="s">
        <v>69</v>
      </c>
      <c r="C4" s="8" t="s">
        <v>202</v>
      </c>
      <c r="D4" s="8" t="s">
        <v>203</v>
      </c>
      <c r="E4" s="8" t="s">
        <v>204</v>
      </c>
      <c r="F4" s="8" t="s">
        <v>71</v>
      </c>
      <c r="G4" s="8" t="s">
        <v>205</v>
      </c>
      <c r="H4" s="8" t="s">
        <v>206</v>
      </c>
      <c r="I4" s="8" t="s">
        <v>207</v>
      </c>
      <c r="K4" s="8" t="s">
        <v>208</v>
      </c>
      <c r="L4" s="8" t="s">
        <v>209</v>
      </c>
      <c r="M4" s="8" t="s">
        <v>210</v>
      </c>
    </row>
    <row r="5" spans="1:13" x14ac:dyDescent="0.3">
      <c r="A5" s="9">
        <v>1</v>
      </c>
      <c r="B5" s="9" t="s">
        <v>211</v>
      </c>
      <c r="C5" s="9" t="s">
        <v>29</v>
      </c>
      <c r="D5" s="9" t="s">
        <v>212</v>
      </c>
      <c r="E5" s="9" t="s">
        <v>213</v>
      </c>
      <c r="F5" s="9" t="s">
        <v>183</v>
      </c>
      <c r="G5" s="9" t="s">
        <v>32</v>
      </c>
      <c r="H5" s="15" t="str">
        <f>IF(MATCH(G5,Niveis!$A$5:$A$7,0)&lt;=MATCH(Gerador!$B$19,Niveis!$A$5:$A$7,0),"Sim","Não")</f>
        <v>Sim</v>
      </c>
      <c r="I5" s="13" t="str">
        <f>IF(H5="Sim",C5&amp;"-"&amp;F5&amp;"-"&amp;COUNTIFS($C$5:C5,C5,$F$5:F5,F5,$H$5:H5,"Sim"),"")</f>
        <v>Peito-Composto-1</v>
      </c>
      <c r="K5" s="9" t="s">
        <v>29</v>
      </c>
      <c r="L5" s="9">
        <f t="shared" ref="L5:L16" si="0">COUNTIF($C$5:$C$75,K5)</f>
        <v>10</v>
      </c>
      <c r="M5" s="9">
        <f t="shared" ref="M5:M16" si="1">COUNTIFS($C$5:$C$75,K5,$H$5:$H$75,"Sim")</f>
        <v>10</v>
      </c>
    </row>
    <row r="6" spans="1:13" x14ac:dyDescent="0.3">
      <c r="A6" s="9">
        <v>2</v>
      </c>
      <c r="B6" s="9" t="s">
        <v>214</v>
      </c>
      <c r="C6" s="9" t="s">
        <v>29</v>
      </c>
      <c r="D6" s="9" t="s">
        <v>215</v>
      </c>
      <c r="E6" s="9" t="s">
        <v>213</v>
      </c>
      <c r="F6" s="9" t="s">
        <v>183</v>
      </c>
      <c r="G6" s="9" t="s">
        <v>32</v>
      </c>
      <c r="H6" s="15" t="str">
        <f>IF(MATCH(G6,Niveis!$A$5:$A$7,0)&lt;=MATCH(Gerador!$B$19,Niveis!$A$5:$A$7,0),"Sim","Não")</f>
        <v>Sim</v>
      </c>
      <c r="I6" s="13" t="str">
        <f>IF(H6="Sim",C6&amp;"-"&amp;F6&amp;"-"&amp;COUNTIFS($C$5:C6,C6,$F$5:F6,F6,$H$5:H6,"Sim"),"")</f>
        <v>Peito-Composto-2</v>
      </c>
      <c r="K6" s="9" t="s">
        <v>33</v>
      </c>
      <c r="L6" s="9">
        <f t="shared" si="0"/>
        <v>9</v>
      </c>
      <c r="M6" s="9">
        <f t="shared" si="1"/>
        <v>9</v>
      </c>
    </row>
    <row r="7" spans="1:13" x14ac:dyDescent="0.3">
      <c r="A7" s="9">
        <v>3</v>
      </c>
      <c r="B7" s="9" t="s">
        <v>216</v>
      </c>
      <c r="C7" s="9" t="s">
        <v>29</v>
      </c>
      <c r="D7" s="9" t="s">
        <v>212</v>
      </c>
      <c r="E7" s="9" t="s">
        <v>217</v>
      </c>
      <c r="F7" s="9" t="s">
        <v>183</v>
      </c>
      <c r="G7" s="9" t="s">
        <v>121</v>
      </c>
      <c r="H7" s="15" t="str">
        <f>IF(MATCH(G7,Niveis!$A$5:$A$7,0)&lt;=MATCH(Gerador!$B$19,Niveis!$A$5:$A$7,0),"Sim","Não")</f>
        <v>Sim</v>
      </c>
      <c r="I7" s="13" t="str">
        <f>IF(H7="Sim",C7&amp;"-"&amp;F7&amp;"-"&amp;COUNTIFS($C$5:C7,C7,$F$5:F7,F7,$H$5:H7,"Sim"),"")</f>
        <v>Peito-Composto-3</v>
      </c>
      <c r="K7" s="9" t="s">
        <v>34</v>
      </c>
      <c r="L7" s="9">
        <f t="shared" si="0"/>
        <v>8</v>
      </c>
      <c r="M7" s="9">
        <f t="shared" si="1"/>
        <v>8</v>
      </c>
    </row>
    <row r="8" spans="1:13" x14ac:dyDescent="0.3">
      <c r="A8" s="9">
        <v>4</v>
      </c>
      <c r="B8" s="9" t="s">
        <v>218</v>
      </c>
      <c r="C8" s="9" t="s">
        <v>29</v>
      </c>
      <c r="D8" s="9" t="s">
        <v>215</v>
      </c>
      <c r="E8" s="9" t="s">
        <v>217</v>
      </c>
      <c r="F8" s="9" t="s">
        <v>183</v>
      </c>
      <c r="G8" s="9" t="s">
        <v>121</v>
      </c>
      <c r="H8" s="15" t="str">
        <f>IF(MATCH(G8,Niveis!$A$5:$A$7,0)&lt;=MATCH(Gerador!$B$19,Niveis!$A$5:$A$7,0),"Sim","Não")</f>
        <v>Sim</v>
      </c>
      <c r="I8" s="13" t="str">
        <f>IF(H8="Sim",C8&amp;"-"&amp;F8&amp;"-"&amp;COUNTIFS($C$5:C8,C8,$F$5:F8,F8,$H$5:H8,"Sim"),"")</f>
        <v>Peito-Composto-4</v>
      </c>
      <c r="K8" s="9" t="s">
        <v>39</v>
      </c>
      <c r="L8" s="9">
        <f t="shared" si="0"/>
        <v>5</v>
      </c>
      <c r="M8" s="9">
        <f t="shared" si="1"/>
        <v>5</v>
      </c>
    </row>
    <row r="9" spans="1:13" x14ac:dyDescent="0.3">
      <c r="A9" s="9">
        <v>5</v>
      </c>
      <c r="B9" s="9" t="s">
        <v>219</v>
      </c>
      <c r="C9" s="9" t="s">
        <v>29</v>
      </c>
      <c r="D9" s="9" t="s">
        <v>212</v>
      </c>
      <c r="E9" s="9" t="s">
        <v>220</v>
      </c>
      <c r="F9" s="9" t="s">
        <v>183</v>
      </c>
      <c r="G9" s="9" t="s">
        <v>121</v>
      </c>
      <c r="H9" s="15" t="str">
        <f>IF(MATCH(G9,Niveis!$A$5:$A$7,0)&lt;=MATCH(Gerador!$B$19,Niveis!$A$5:$A$7,0),"Sim","Não")</f>
        <v>Sim</v>
      </c>
      <c r="I9" s="13" t="str">
        <f>IF(H9="Sim",C9&amp;"-"&amp;F9&amp;"-"&amp;COUNTIFS($C$5:C9,C9,$F$5:F9,F9,$H$5:H9,"Sim"),"")</f>
        <v>Peito-Composto-5</v>
      </c>
      <c r="K9" s="9" t="s">
        <v>42</v>
      </c>
      <c r="L9" s="9">
        <f t="shared" si="0"/>
        <v>5</v>
      </c>
      <c r="M9" s="9">
        <f t="shared" si="1"/>
        <v>5</v>
      </c>
    </row>
    <row r="10" spans="1:13" x14ac:dyDescent="0.3">
      <c r="A10" s="9">
        <v>6</v>
      </c>
      <c r="B10" s="9" t="s">
        <v>221</v>
      </c>
      <c r="C10" s="9" t="s">
        <v>29</v>
      </c>
      <c r="D10" s="9" t="s">
        <v>222</v>
      </c>
      <c r="E10" s="9" t="s">
        <v>223</v>
      </c>
      <c r="F10" s="9" t="s">
        <v>183</v>
      </c>
      <c r="G10" s="9" t="s">
        <v>121</v>
      </c>
      <c r="H10" s="15" t="str">
        <f>IF(MATCH(G10,Niveis!$A$5:$A$7,0)&lt;=MATCH(Gerador!$B$19,Niveis!$A$5:$A$7,0),"Sim","Não")</f>
        <v>Sim</v>
      </c>
      <c r="I10" s="13" t="str">
        <f>IF(H10="Sim",C10&amp;"-"&amp;F10&amp;"-"&amp;COUNTIFS($C$5:C10,C10,$F$5:F10,F10,$H$5:H10,"Sim"),"")</f>
        <v>Peito-Composto-6</v>
      </c>
      <c r="K10" s="9" t="s">
        <v>44</v>
      </c>
      <c r="L10" s="9">
        <f t="shared" si="0"/>
        <v>9</v>
      </c>
      <c r="M10" s="9">
        <f t="shared" si="1"/>
        <v>9</v>
      </c>
    </row>
    <row r="11" spans="1:13" x14ac:dyDescent="0.3">
      <c r="A11" s="9">
        <v>7</v>
      </c>
      <c r="B11" s="9" t="s">
        <v>224</v>
      </c>
      <c r="C11" s="9" t="s">
        <v>29</v>
      </c>
      <c r="D11" s="9" t="s">
        <v>212</v>
      </c>
      <c r="E11" s="9" t="s">
        <v>223</v>
      </c>
      <c r="F11" s="9" t="s">
        <v>183</v>
      </c>
      <c r="G11" s="9" t="s">
        <v>32</v>
      </c>
      <c r="H11" s="15" t="str">
        <f>IF(MATCH(G11,Niveis!$A$5:$A$7,0)&lt;=MATCH(Gerador!$B$19,Niveis!$A$5:$A$7,0),"Sim","Não")</f>
        <v>Sim</v>
      </c>
      <c r="I11" s="13" t="str">
        <f>IF(H11="Sim",C11&amp;"-"&amp;F11&amp;"-"&amp;COUNTIFS($C$5:C11,C11,$F$5:F11,F11,$H$5:H11,"Sim"),"")</f>
        <v>Peito-Composto-7</v>
      </c>
      <c r="K11" s="9" t="s">
        <v>45</v>
      </c>
      <c r="L11" s="9">
        <f t="shared" si="0"/>
        <v>6</v>
      </c>
      <c r="M11" s="9">
        <f t="shared" si="1"/>
        <v>6</v>
      </c>
    </row>
    <row r="12" spans="1:13" x14ac:dyDescent="0.3">
      <c r="A12" s="9">
        <v>8</v>
      </c>
      <c r="B12" s="9" t="s">
        <v>225</v>
      </c>
      <c r="C12" s="9" t="s">
        <v>29</v>
      </c>
      <c r="D12" s="9" t="s">
        <v>34</v>
      </c>
      <c r="E12" s="9" t="s">
        <v>226</v>
      </c>
      <c r="F12" s="9" t="s">
        <v>185</v>
      </c>
      <c r="G12" s="9" t="s">
        <v>32</v>
      </c>
      <c r="H12" s="15" t="str">
        <f>IF(MATCH(G12,Niveis!$A$5:$A$7,0)&lt;=MATCH(Gerador!$B$19,Niveis!$A$5:$A$7,0),"Sim","Não")</f>
        <v>Sim</v>
      </c>
      <c r="I12" s="13" t="str">
        <f>IF(H12="Sim",C12&amp;"-"&amp;F12&amp;"-"&amp;COUNTIFS($C$5:C12,C12,$F$5:F12,F12,$H$5:H12,"Sim"),"")</f>
        <v>Peito-Isolado-1</v>
      </c>
      <c r="K12" s="9" t="s">
        <v>46</v>
      </c>
      <c r="L12" s="9">
        <f t="shared" si="0"/>
        <v>6</v>
      </c>
      <c r="M12" s="9">
        <f t="shared" si="1"/>
        <v>6</v>
      </c>
    </row>
    <row r="13" spans="1:13" x14ac:dyDescent="0.3">
      <c r="A13" s="9">
        <v>9</v>
      </c>
      <c r="B13" s="9" t="s">
        <v>227</v>
      </c>
      <c r="C13" s="9" t="s">
        <v>29</v>
      </c>
      <c r="D13" s="9" t="s">
        <v>34</v>
      </c>
      <c r="E13" s="9" t="s">
        <v>217</v>
      </c>
      <c r="F13" s="9" t="s">
        <v>185</v>
      </c>
      <c r="G13" s="9" t="s">
        <v>32</v>
      </c>
      <c r="H13" s="15" t="str">
        <f>IF(MATCH(G13,Niveis!$A$5:$A$7,0)&lt;=MATCH(Gerador!$B$19,Niveis!$A$5:$A$7,0),"Sim","Não")</f>
        <v>Sim</v>
      </c>
      <c r="I13" s="13" t="str">
        <f>IF(H13="Sim",C13&amp;"-"&amp;F13&amp;"-"&amp;COUNTIFS($C$5:C13,C13,$F$5:F13,F13,$H$5:H13,"Sim"),"")</f>
        <v>Peito-Isolado-2</v>
      </c>
      <c r="K13" s="9" t="s">
        <v>47</v>
      </c>
      <c r="L13" s="9">
        <f t="shared" si="0"/>
        <v>3</v>
      </c>
      <c r="M13" s="9">
        <f t="shared" si="1"/>
        <v>3</v>
      </c>
    </row>
    <row r="14" spans="1:13" x14ac:dyDescent="0.3">
      <c r="A14" s="9">
        <v>10</v>
      </c>
      <c r="B14" s="9" t="s">
        <v>228</v>
      </c>
      <c r="C14" s="9" t="s">
        <v>29</v>
      </c>
      <c r="D14" s="9" t="s">
        <v>229</v>
      </c>
      <c r="E14" s="9" t="s">
        <v>220</v>
      </c>
      <c r="F14" s="9" t="s">
        <v>185</v>
      </c>
      <c r="G14" s="9" t="s">
        <v>121</v>
      </c>
      <c r="H14" s="15" t="str">
        <f>IF(MATCH(G14,Niveis!$A$5:$A$7,0)&lt;=MATCH(Gerador!$B$19,Niveis!$A$5:$A$7,0),"Sim","Não")</f>
        <v>Sim</v>
      </c>
      <c r="I14" s="13" t="str">
        <f>IF(H14="Sim",C14&amp;"-"&amp;F14&amp;"-"&amp;COUNTIFS($C$5:C14,C14,$F$5:F14,F14,$H$5:H14,"Sim"),"")</f>
        <v>Peito-Isolado-3</v>
      </c>
      <c r="K14" s="9" t="s">
        <v>48</v>
      </c>
      <c r="L14" s="9">
        <f t="shared" si="0"/>
        <v>6</v>
      </c>
      <c r="M14" s="9">
        <f t="shared" si="1"/>
        <v>6</v>
      </c>
    </row>
    <row r="15" spans="1:13" x14ac:dyDescent="0.3">
      <c r="A15" s="9">
        <v>11</v>
      </c>
      <c r="B15" s="9" t="s">
        <v>230</v>
      </c>
      <c r="C15" s="9" t="s">
        <v>33</v>
      </c>
      <c r="D15" s="9" t="s">
        <v>231</v>
      </c>
      <c r="E15" s="9" t="s">
        <v>213</v>
      </c>
      <c r="F15" s="9" t="s">
        <v>183</v>
      </c>
      <c r="G15" s="9" t="s">
        <v>32</v>
      </c>
      <c r="H15" s="15" t="str">
        <f>IF(MATCH(G15,Niveis!$A$5:$A$7,0)&lt;=MATCH(Gerador!$B$19,Niveis!$A$5:$A$7,0),"Sim","Não")</f>
        <v>Sim</v>
      </c>
      <c r="I15" s="13" t="str">
        <f>IF(H15="Sim",C15&amp;"-"&amp;F15&amp;"-"&amp;COUNTIFS($C$5:C15,C15,$F$5:F15,F15,$H$5:H15,"Sim"),"")</f>
        <v>Costas-Composto-1</v>
      </c>
      <c r="K15" s="9" t="s">
        <v>49</v>
      </c>
      <c r="L15" s="9">
        <f t="shared" si="0"/>
        <v>2</v>
      </c>
      <c r="M15" s="9">
        <f t="shared" si="1"/>
        <v>2</v>
      </c>
    </row>
    <row r="16" spans="1:13" x14ac:dyDescent="0.3">
      <c r="A16" s="9">
        <v>12</v>
      </c>
      <c r="B16" s="9" t="s">
        <v>232</v>
      </c>
      <c r="C16" s="9" t="s">
        <v>33</v>
      </c>
      <c r="D16" s="9" t="s">
        <v>39</v>
      </c>
      <c r="E16" s="9" t="s">
        <v>223</v>
      </c>
      <c r="F16" s="9" t="s">
        <v>183</v>
      </c>
      <c r="G16" s="9" t="s">
        <v>32</v>
      </c>
      <c r="H16" s="15" t="str">
        <f>IF(MATCH(G16,Niveis!$A$5:$A$7,0)&lt;=MATCH(Gerador!$B$19,Niveis!$A$5:$A$7,0),"Sim","Não")</f>
        <v>Sim</v>
      </c>
      <c r="I16" s="13" t="str">
        <f>IF(H16="Sim",C16&amp;"-"&amp;F16&amp;"-"&amp;COUNTIFS($C$5:C16,C16,$F$5:F16,F16,$H$5:H16,"Sim"),"")</f>
        <v>Costas-Composto-2</v>
      </c>
      <c r="K16" s="9" t="s">
        <v>52</v>
      </c>
      <c r="L16" s="9">
        <f t="shared" si="0"/>
        <v>2</v>
      </c>
      <c r="M16" s="9">
        <f t="shared" si="1"/>
        <v>2</v>
      </c>
    </row>
    <row r="17" spans="1:13" x14ac:dyDescent="0.3">
      <c r="A17" s="9">
        <v>13</v>
      </c>
      <c r="B17" s="9" t="s">
        <v>233</v>
      </c>
      <c r="C17" s="9" t="s">
        <v>33</v>
      </c>
      <c r="D17" s="9" t="s">
        <v>39</v>
      </c>
      <c r="E17" s="9" t="s">
        <v>226</v>
      </c>
      <c r="F17" s="9" t="s">
        <v>183</v>
      </c>
      <c r="G17" s="9" t="s">
        <v>121</v>
      </c>
      <c r="H17" s="15" t="str">
        <f>IF(MATCH(G17,Niveis!$A$5:$A$7,0)&lt;=MATCH(Gerador!$B$19,Niveis!$A$5:$A$7,0),"Sim","Não")</f>
        <v>Sim</v>
      </c>
      <c r="I17" s="13" t="str">
        <f>IF(H17="Sim",C17&amp;"-"&amp;F17&amp;"-"&amp;COUNTIFS($C$5:C17,C17,$F$5:F17,F17,$H$5:H17,"Sim"),"")</f>
        <v>Costas-Composto-3</v>
      </c>
      <c r="K17" s="21" t="s">
        <v>209</v>
      </c>
      <c r="L17" s="21">
        <f>SUM(L5:L16)</f>
        <v>71</v>
      </c>
      <c r="M17" s="21">
        <f>SUM(M5:M16)</f>
        <v>71</v>
      </c>
    </row>
    <row r="18" spans="1:13" x14ac:dyDescent="0.3">
      <c r="A18" s="9">
        <v>14</v>
      </c>
      <c r="B18" s="9" t="s">
        <v>234</v>
      </c>
      <c r="C18" s="9" t="s">
        <v>33</v>
      </c>
      <c r="D18" s="9" t="s">
        <v>39</v>
      </c>
      <c r="E18" s="9" t="s">
        <v>226</v>
      </c>
      <c r="F18" s="9" t="s">
        <v>183</v>
      </c>
      <c r="G18" s="9" t="s">
        <v>121</v>
      </c>
      <c r="H18" s="15" t="str">
        <f>IF(MATCH(G18,Niveis!$A$5:$A$7,0)&lt;=MATCH(Gerador!$B$19,Niveis!$A$5:$A$7,0),"Sim","Não")</f>
        <v>Sim</v>
      </c>
      <c r="I18" s="13" t="str">
        <f>IF(H18="Sim",C18&amp;"-"&amp;F18&amp;"-"&amp;COUNTIFS($C$5:C18,C18,$F$5:F18,F18,$H$5:H18,"Sim"),"")</f>
        <v>Costas-Composto-4</v>
      </c>
    </row>
    <row r="19" spans="1:13" x14ac:dyDescent="0.3">
      <c r="A19" s="9">
        <v>15</v>
      </c>
      <c r="B19" s="9" t="s">
        <v>235</v>
      </c>
      <c r="C19" s="9" t="s">
        <v>33</v>
      </c>
      <c r="D19" s="9" t="s">
        <v>39</v>
      </c>
      <c r="E19" s="9" t="s">
        <v>217</v>
      </c>
      <c r="F19" s="9" t="s">
        <v>183</v>
      </c>
      <c r="G19" s="9" t="s">
        <v>121</v>
      </c>
      <c r="H19" s="15" t="str">
        <f>IF(MATCH(G19,Niveis!$A$5:$A$7,0)&lt;=MATCH(Gerador!$B$19,Niveis!$A$5:$A$7,0),"Sim","Não")</f>
        <v>Sim</v>
      </c>
      <c r="I19" s="13" t="str">
        <f>IF(H19="Sim",C19&amp;"-"&amp;F19&amp;"-"&amp;COUNTIFS($C$5:C19,C19,$F$5:F19,F19,$H$5:H19,"Sim"),"")</f>
        <v>Costas-Composto-5</v>
      </c>
    </row>
    <row r="20" spans="1:13" x14ac:dyDescent="0.3">
      <c r="A20" s="9">
        <v>16</v>
      </c>
      <c r="B20" s="9" t="s">
        <v>236</v>
      </c>
      <c r="C20" s="9" t="s">
        <v>33</v>
      </c>
      <c r="D20" s="9" t="s">
        <v>39</v>
      </c>
      <c r="E20" s="9" t="s">
        <v>220</v>
      </c>
      <c r="F20" s="9" t="s">
        <v>183</v>
      </c>
      <c r="G20" s="9" t="s">
        <v>121</v>
      </c>
      <c r="H20" s="15" t="str">
        <f>IF(MATCH(G20,Niveis!$A$5:$A$7,0)&lt;=MATCH(Gerador!$B$19,Niveis!$A$5:$A$7,0),"Sim","Não")</f>
        <v>Sim</v>
      </c>
      <c r="I20" s="13" t="str">
        <f>IF(H20="Sim",C20&amp;"-"&amp;F20&amp;"-"&amp;COUNTIFS($C$5:C20,C20,$F$5:F20,F20,$H$5:H20,"Sim"),"")</f>
        <v>Costas-Composto-6</v>
      </c>
    </row>
    <row r="21" spans="1:13" x14ac:dyDescent="0.3">
      <c r="A21" s="9">
        <v>17</v>
      </c>
      <c r="B21" s="9" t="s">
        <v>237</v>
      </c>
      <c r="C21" s="9" t="s">
        <v>33</v>
      </c>
      <c r="D21" s="9" t="s">
        <v>39</v>
      </c>
      <c r="E21" s="9" t="s">
        <v>238</v>
      </c>
      <c r="F21" s="9" t="s">
        <v>183</v>
      </c>
      <c r="G21" s="9" t="s">
        <v>121</v>
      </c>
      <c r="H21" s="15" t="str">
        <f>IF(MATCH(G21,Niveis!$A$5:$A$7,0)&lt;=MATCH(Gerador!$B$19,Niveis!$A$5:$A$7,0),"Sim","Não")</f>
        <v>Sim</v>
      </c>
      <c r="I21" s="13" t="str">
        <f>IF(H21="Sim",C21&amp;"-"&amp;F21&amp;"-"&amp;COUNTIFS($C$5:C21,C21,$F$5:F21,F21,$H$5:H21,"Sim"),"")</f>
        <v>Costas-Composto-7</v>
      </c>
    </row>
    <row r="22" spans="1:13" x14ac:dyDescent="0.3">
      <c r="A22" s="9">
        <v>18</v>
      </c>
      <c r="B22" s="9" t="s">
        <v>239</v>
      </c>
      <c r="C22" s="9" t="s">
        <v>33</v>
      </c>
      <c r="D22" s="9" t="s">
        <v>39</v>
      </c>
      <c r="E22" s="9" t="s">
        <v>240</v>
      </c>
      <c r="F22" s="9" t="s">
        <v>183</v>
      </c>
      <c r="G22" s="9" t="s">
        <v>126</v>
      </c>
      <c r="H22" s="15" t="str">
        <f>IF(MATCH(G22,Niveis!$A$5:$A$7,0)&lt;=MATCH(Gerador!$B$19,Niveis!$A$5:$A$7,0),"Sim","Não")</f>
        <v>Sim</v>
      </c>
      <c r="I22" s="13" t="str">
        <f>IF(H22="Sim",C22&amp;"-"&amp;F22&amp;"-"&amp;COUNTIFS($C$5:C22,C22,$F$5:F22,F22,$H$5:H22,"Sim"),"")</f>
        <v>Costas-Composto-8</v>
      </c>
    </row>
    <row r="23" spans="1:13" x14ac:dyDescent="0.3">
      <c r="A23" s="9">
        <v>19</v>
      </c>
      <c r="B23" s="9" t="s">
        <v>241</v>
      </c>
      <c r="C23" s="9" t="s">
        <v>33</v>
      </c>
      <c r="D23" s="9" t="s">
        <v>29</v>
      </c>
      <c r="E23" s="9" t="s">
        <v>226</v>
      </c>
      <c r="F23" s="9" t="s">
        <v>185</v>
      </c>
      <c r="G23" s="9" t="s">
        <v>32</v>
      </c>
      <c r="H23" s="15" t="str">
        <f>IF(MATCH(G23,Niveis!$A$5:$A$7,0)&lt;=MATCH(Gerador!$B$19,Niveis!$A$5:$A$7,0),"Sim","Não")</f>
        <v>Sim</v>
      </c>
      <c r="I23" s="13" t="str">
        <f>IF(H23="Sim",C23&amp;"-"&amp;F23&amp;"-"&amp;COUNTIFS($C$5:C23,C23,$F$5:F23,F23,$H$5:H23,"Sim"),"")</f>
        <v>Costas-Isolado-1</v>
      </c>
    </row>
    <row r="24" spans="1:13" x14ac:dyDescent="0.3">
      <c r="A24" s="9">
        <v>20</v>
      </c>
      <c r="B24" s="9" t="s">
        <v>242</v>
      </c>
      <c r="C24" s="9" t="s">
        <v>34</v>
      </c>
      <c r="D24" s="9" t="s">
        <v>42</v>
      </c>
      <c r="E24" s="9" t="s">
        <v>213</v>
      </c>
      <c r="F24" s="9" t="s">
        <v>183</v>
      </c>
      <c r="G24" s="9" t="s">
        <v>32</v>
      </c>
      <c r="H24" s="15" t="str">
        <f>IF(MATCH(G24,Niveis!$A$5:$A$7,0)&lt;=MATCH(Gerador!$B$19,Niveis!$A$5:$A$7,0),"Sim","Não")</f>
        <v>Sim</v>
      </c>
      <c r="I24" s="13" t="str">
        <f>IF(H24="Sim",C24&amp;"-"&amp;F24&amp;"-"&amp;COUNTIFS($C$5:C24,C24,$F$5:F24,F24,$H$5:H24,"Sim"),"")</f>
        <v>Ombros-Composto-1</v>
      </c>
    </row>
    <row r="25" spans="1:13" x14ac:dyDescent="0.3">
      <c r="A25" s="9">
        <v>21</v>
      </c>
      <c r="B25" s="9" t="s">
        <v>243</v>
      </c>
      <c r="C25" s="9" t="s">
        <v>34</v>
      </c>
      <c r="D25" s="9" t="s">
        <v>42</v>
      </c>
      <c r="E25" s="9" t="s">
        <v>217</v>
      </c>
      <c r="F25" s="9" t="s">
        <v>183</v>
      </c>
      <c r="G25" s="9" t="s">
        <v>121</v>
      </c>
      <c r="H25" s="15" t="str">
        <f>IF(MATCH(G25,Niveis!$A$5:$A$7,0)&lt;=MATCH(Gerador!$B$19,Niveis!$A$5:$A$7,0),"Sim","Não")</f>
        <v>Sim</v>
      </c>
      <c r="I25" s="13" t="str">
        <f>IF(H25="Sim",C25&amp;"-"&amp;F25&amp;"-"&amp;COUNTIFS($C$5:C25,C25,$F$5:F25,F25,$H$5:H25,"Sim"),"")</f>
        <v>Ombros-Composto-2</v>
      </c>
    </row>
    <row r="26" spans="1:13" x14ac:dyDescent="0.3">
      <c r="A26" s="9">
        <v>22</v>
      </c>
      <c r="B26" s="9" t="s">
        <v>244</v>
      </c>
      <c r="C26" s="9" t="s">
        <v>34</v>
      </c>
      <c r="D26" s="9" t="s">
        <v>42</v>
      </c>
      <c r="E26" s="9" t="s">
        <v>220</v>
      </c>
      <c r="F26" s="9" t="s">
        <v>183</v>
      </c>
      <c r="G26" s="9" t="s">
        <v>121</v>
      </c>
      <c r="H26" s="15" t="str">
        <f>IF(MATCH(G26,Niveis!$A$5:$A$7,0)&lt;=MATCH(Gerador!$B$19,Niveis!$A$5:$A$7,0),"Sim","Não")</f>
        <v>Sim</v>
      </c>
      <c r="I26" s="13" t="str">
        <f>IF(H26="Sim",C26&amp;"-"&amp;F26&amp;"-"&amp;COUNTIFS($C$5:C26,C26,$F$5:F26,F26,$H$5:H26,"Sim"),"")</f>
        <v>Ombros-Composto-3</v>
      </c>
    </row>
    <row r="27" spans="1:13" x14ac:dyDescent="0.3">
      <c r="A27" s="9">
        <v>23</v>
      </c>
      <c r="B27" s="9" t="s">
        <v>245</v>
      </c>
      <c r="C27" s="9" t="s">
        <v>34</v>
      </c>
      <c r="D27" s="9" t="s">
        <v>229</v>
      </c>
      <c r="E27" s="9" t="s">
        <v>217</v>
      </c>
      <c r="F27" s="9" t="s">
        <v>185</v>
      </c>
      <c r="G27" s="9" t="s">
        <v>121</v>
      </c>
      <c r="H27" s="15" t="str">
        <f>IF(MATCH(G27,Niveis!$A$5:$A$7,0)&lt;=MATCH(Gerador!$B$19,Niveis!$A$5:$A$7,0),"Sim","Não")</f>
        <v>Sim</v>
      </c>
      <c r="I27" s="13" t="str">
        <f>IF(H27="Sim",C27&amp;"-"&amp;F27&amp;"-"&amp;COUNTIFS($C$5:C27,C27,$F$5:F27,F27,$H$5:H27,"Sim"),"")</f>
        <v>Ombros-Isolado-1</v>
      </c>
    </row>
    <row r="28" spans="1:13" x14ac:dyDescent="0.3">
      <c r="A28" s="9">
        <v>24</v>
      </c>
      <c r="B28" s="9" t="s">
        <v>246</v>
      </c>
      <c r="C28" s="9" t="s">
        <v>34</v>
      </c>
      <c r="D28" s="9" t="s">
        <v>33</v>
      </c>
      <c r="E28" s="9" t="s">
        <v>220</v>
      </c>
      <c r="F28" s="9" t="s">
        <v>185</v>
      </c>
      <c r="G28" s="9" t="s">
        <v>121</v>
      </c>
      <c r="H28" s="15" t="str">
        <f>IF(MATCH(G28,Niveis!$A$5:$A$7,0)&lt;=MATCH(Gerador!$B$19,Niveis!$A$5:$A$7,0),"Sim","Não")</f>
        <v>Sim</v>
      </c>
      <c r="I28" s="13" t="str">
        <f>IF(H28="Sim",C28&amp;"-"&amp;F28&amp;"-"&amp;COUNTIFS($C$5:C28,C28,$F$5:F28,F28,$H$5:H28,"Sim"),"")</f>
        <v>Ombros-Isolado-2</v>
      </c>
    </row>
    <row r="29" spans="1:13" x14ac:dyDescent="0.3">
      <c r="A29" s="9">
        <v>25</v>
      </c>
      <c r="B29" s="9" t="s">
        <v>247</v>
      </c>
      <c r="C29" s="9" t="s">
        <v>34</v>
      </c>
      <c r="D29" s="9" t="s">
        <v>229</v>
      </c>
      <c r="E29" s="9" t="s">
        <v>226</v>
      </c>
      <c r="F29" s="9" t="s">
        <v>185</v>
      </c>
      <c r="G29" s="9" t="s">
        <v>32</v>
      </c>
      <c r="H29" s="15" t="str">
        <f>IF(MATCH(G29,Niveis!$A$5:$A$7,0)&lt;=MATCH(Gerador!$B$19,Niveis!$A$5:$A$7,0),"Sim","Não")</f>
        <v>Sim</v>
      </c>
      <c r="I29" s="13" t="str">
        <f>IF(H29="Sim",C29&amp;"-"&amp;F29&amp;"-"&amp;COUNTIFS($C$5:C29,C29,$F$5:F29,F29,$H$5:H29,"Sim"),"")</f>
        <v>Ombros-Isolado-3</v>
      </c>
    </row>
    <row r="30" spans="1:13" x14ac:dyDescent="0.3">
      <c r="A30" s="9">
        <v>26</v>
      </c>
      <c r="B30" s="9" t="s">
        <v>248</v>
      </c>
      <c r="C30" s="9" t="s">
        <v>34</v>
      </c>
      <c r="D30" s="9" t="s">
        <v>33</v>
      </c>
      <c r="E30" s="9" t="s">
        <v>226</v>
      </c>
      <c r="F30" s="9" t="s">
        <v>185</v>
      </c>
      <c r="G30" s="9" t="s">
        <v>32</v>
      </c>
      <c r="H30" s="15" t="str">
        <f>IF(MATCH(G30,Niveis!$A$5:$A$7,0)&lt;=MATCH(Gerador!$B$19,Niveis!$A$5:$A$7,0),"Sim","Não")</f>
        <v>Sim</v>
      </c>
      <c r="I30" s="13" t="str">
        <f>IF(H30="Sim",C30&amp;"-"&amp;F30&amp;"-"&amp;COUNTIFS($C$5:C30,C30,$F$5:F30,F30,$H$5:H30,"Sim"),"")</f>
        <v>Ombros-Isolado-4</v>
      </c>
    </row>
    <row r="31" spans="1:13" x14ac:dyDescent="0.3">
      <c r="A31" s="9">
        <v>27</v>
      </c>
      <c r="B31" s="9" t="s">
        <v>249</v>
      </c>
      <c r="C31" s="9" t="s">
        <v>34</v>
      </c>
      <c r="D31" s="9" t="s">
        <v>229</v>
      </c>
      <c r="E31" s="9" t="s">
        <v>217</v>
      </c>
      <c r="F31" s="9" t="s">
        <v>185</v>
      </c>
      <c r="G31" s="9" t="s">
        <v>121</v>
      </c>
      <c r="H31" s="15" t="str">
        <f>IF(MATCH(G31,Niveis!$A$5:$A$7,0)&lt;=MATCH(Gerador!$B$19,Niveis!$A$5:$A$7,0),"Sim","Não")</f>
        <v>Sim</v>
      </c>
      <c r="I31" s="13" t="str">
        <f>IF(H31="Sim",C31&amp;"-"&amp;F31&amp;"-"&amp;COUNTIFS($C$5:C31,C31,$F$5:F31,F31,$H$5:H31,"Sim"),"")</f>
        <v>Ombros-Isolado-5</v>
      </c>
    </row>
    <row r="32" spans="1:13" x14ac:dyDescent="0.3">
      <c r="A32" s="9">
        <v>28</v>
      </c>
      <c r="B32" s="9" t="s">
        <v>250</v>
      </c>
      <c r="C32" s="9" t="s">
        <v>39</v>
      </c>
      <c r="D32" s="9" t="s">
        <v>52</v>
      </c>
      <c r="E32" s="9" t="s">
        <v>213</v>
      </c>
      <c r="F32" s="9" t="s">
        <v>185</v>
      </c>
      <c r="G32" s="9" t="s">
        <v>121</v>
      </c>
      <c r="H32" s="15" t="str">
        <f>IF(MATCH(G32,Niveis!$A$5:$A$7,0)&lt;=MATCH(Gerador!$B$19,Niveis!$A$5:$A$7,0),"Sim","Não")</f>
        <v>Sim</v>
      </c>
      <c r="I32" s="13" t="str">
        <f>IF(H32="Sim",C32&amp;"-"&amp;F32&amp;"-"&amp;COUNTIFS($C$5:C32,C32,$F$5:F32,F32,$H$5:H32,"Sim"),"")</f>
        <v>Bíceps-Isolado-1</v>
      </c>
    </row>
    <row r="33" spans="1:9" x14ac:dyDescent="0.3">
      <c r="A33" s="9">
        <v>29</v>
      </c>
      <c r="B33" s="9" t="s">
        <v>251</v>
      </c>
      <c r="C33" s="9" t="s">
        <v>39</v>
      </c>
      <c r="D33" s="9" t="s">
        <v>52</v>
      </c>
      <c r="E33" s="9" t="s">
        <v>217</v>
      </c>
      <c r="F33" s="9" t="s">
        <v>185</v>
      </c>
      <c r="G33" s="9" t="s">
        <v>121</v>
      </c>
      <c r="H33" s="15" t="str">
        <f>IF(MATCH(G33,Niveis!$A$5:$A$7,0)&lt;=MATCH(Gerador!$B$19,Niveis!$A$5:$A$7,0),"Sim","Não")</f>
        <v>Sim</v>
      </c>
      <c r="I33" s="13" t="str">
        <f>IF(H33="Sim",C33&amp;"-"&amp;F33&amp;"-"&amp;COUNTIFS($C$5:C33,C33,$F$5:F33,F33,$H$5:H33,"Sim"),"")</f>
        <v>Bíceps-Isolado-2</v>
      </c>
    </row>
    <row r="34" spans="1:9" x14ac:dyDescent="0.3">
      <c r="A34" s="9">
        <v>30</v>
      </c>
      <c r="B34" s="9" t="s">
        <v>252</v>
      </c>
      <c r="C34" s="9" t="s">
        <v>39</v>
      </c>
      <c r="D34" s="9" t="s">
        <v>52</v>
      </c>
      <c r="E34" s="9" t="s">
        <v>217</v>
      </c>
      <c r="F34" s="9" t="s">
        <v>185</v>
      </c>
      <c r="G34" s="9" t="s">
        <v>121</v>
      </c>
      <c r="H34" s="15" t="str">
        <f>IF(MATCH(G34,Niveis!$A$5:$A$7,0)&lt;=MATCH(Gerador!$B$19,Niveis!$A$5:$A$7,0),"Sim","Não")</f>
        <v>Sim</v>
      </c>
      <c r="I34" s="13" t="str">
        <f>IF(H34="Sim",C34&amp;"-"&amp;F34&amp;"-"&amp;COUNTIFS($C$5:C34,C34,$F$5:F34,F34,$H$5:H34,"Sim"),"")</f>
        <v>Bíceps-Isolado-3</v>
      </c>
    </row>
    <row r="35" spans="1:9" x14ac:dyDescent="0.3">
      <c r="A35" s="9">
        <v>31</v>
      </c>
      <c r="B35" s="9" t="s">
        <v>253</v>
      </c>
      <c r="C35" s="9" t="s">
        <v>39</v>
      </c>
      <c r="D35" s="9" t="s">
        <v>229</v>
      </c>
      <c r="E35" s="9" t="s">
        <v>254</v>
      </c>
      <c r="F35" s="9" t="s">
        <v>185</v>
      </c>
      <c r="G35" s="9" t="s">
        <v>32</v>
      </c>
      <c r="H35" s="15" t="str">
        <f>IF(MATCH(G35,Niveis!$A$5:$A$7,0)&lt;=MATCH(Gerador!$B$19,Niveis!$A$5:$A$7,0),"Sim","Não")</f>
        <v>Sim</v>
      </c>
      <c r="I35" s="13" t="str">
        <f>IF(H35="Sim",C35&amp;"-"&amp;F35&amp;"-"&amp;COUNTIFS($C$5:C35,C35,$F$5:F35,F35,$H$5:H35,"Sim"),"")</f>
        <v>Bíceps-Isolado-4</v>
      </c>
    </row>
    <row r="36" spans="1:9" x14ac:dyDescent="0.3">
      <c r="A36" s="9">
        <v>32</v>
      </c>
      <c r="B36" s="9" t="s">
        <v>255</v>
      </c>
      <c r="C36" s="9" t="s">
        <v>39</v>
      </c>
      <c r="D36" s="9" t="s">
        <v>229</v>
      </c>
      <c r="E36" s="9" t="s">
        <v>226</v>
      </c>
      <c r="F36" s="9" t="s">
        <v>185</v>
      </c>
      <c r="G36" s="9" t="s">
        <v>32</v>
      </c>
      <c r="H36" s="15" t="str">
        <f>IF(MATCH(G36,Niveis!$A$5:$A$7,0)&lt;=MATCH(Gerador!$B$19,Niveis!$A$5:$A$7,0),"Sim","Não")</f>
        <v>Sim</v>
      </c>
      <c r="I36" s="13" t="str">
        <f>IF(H36="Sim",C36&amp;"-"&amp;F36&amp;"-"&amp;COUNTIFS($C$5:C36,C36,$F$5:F36,F36,$H$5:H36,"Sim"),"")</f>
        <v>Bíceps-Isolado-5</v>
      </c>
    </row>
    <row r="37" spans="1:9" x14ac:dyDescent="0.3">
      <c r="A37" s="9">
        <v>33</v>
      </c>
      <c r="B37" s="9" t="s">
        <v>256</v>
      </c>
      <c r="C37" s="9" t="s">
        <v>42</v>
      </c>
      <c r="D37" s="9" t="s">
        <v>257</v>
      </c>
      <c r="E37" s="9" t="s">
        <v>213</v>
      </c>
      <c r="F37" s="9" t="s">
        <v>183</v>
      </c>
      <c r="G37" s="9" t="s">
        <v>32</v>
      </c>
      <c r="H37" s="15" t="str">
        <f>IF(MATCH(G37,Niveis!$A$5:$A$7,0)&lt;=MATCH(Gerador!$B$19,Niveis!$A$5:$A$7,0),"Sim","Não")</f>
        <v>Sim</v>
      </c>
      <c r="I37" s="13" t="str">
        <f>IF(H37="Sim",C37&amp;"-"&amp;F37&amp;"-"&amp;COUNTIFS($C$5:C37,C37,$F$5:F37,F37,$H$5:H37,"Sim"),"")</f>
        <v>Tríceps-Composto-1</v>
      </c>
    </row>
    <row r="38" spans="1:9" x14ac:dyDescent="0.3">
      <c r="A38" s="9">
        <v>34</v>
      </c>
      <c r="B38" s="9" t="s">
        <v>258</v>
      </c>
      <c r="C38" s="9" t="s">
        <v>42</v>
      </c>
      <c r="D38" s="9" t="s">
        <v>257</v>
      </c>
      <c r="E38" s="9" t="s">
        <v>223</v>
      </c>
      <c r="F38" s="9" t="s">
        <v>183</v>
      </c>
      <c r="G38" s="9" t="s">
        <v>32</v>
      </c>
      <c r="H38" s="15" t="str">
        <f>IF(MATCH(G38,Niveis!$A$5:$A$7,0)&lt;=MATCH(Gerador!$B$19,Niveis!$A$5:$A$7,0),"Sim","Não")</f>
        <v>Sim</v>
      </c>
      <c r="I38" s="13" t="str">
        <f>IF(H38="Sim",C38&amp;"-"&amp;F38&amp;"-"&amp;COUNTIFS($C$5:C38,C38,$F$5:F38,F38,$H$5:H38,"Sim"),"")</f>
        <v>Tríceps-Composto-2</v>
      </c>
    </row>
    <row r="39" spans="1:9" x14ac:dyDescent="0.3">
      <c r="A39" s="9">
        <v>35</v>
      </c>
      <c r="B39" s="9" t="s">
        <v>259</v>
      </c>
      <c r="C39" s="9" t="s">
        <v>42</v>
      </c>
      <c r="D39" s="9" t="s">
        <v>229</v>
      </c>
      <c r="E39" s="9" t="s">
        <v>226</v>
      </c>
      <c r="F39" s="9" t="s">
        <v>185</v>
      </c>
      <c r="G39" s="9" t="s">
        <v>121</v>
      </c>
      <c r="H39" s="15" t="str">
        <f>IF(MATCH(G39,Niveis!$A$5:$A$7,0)&lt;=MATCH(Gerador!$B$19,Niveis!$A$5:$A$7,0),"Sim","Não")</f>
        <v>Sim</v>
      </c>
      <c r="I39" s="13" t="str">
        <f>IF(H39="Sim",C39&amp;"-"&amp;F39&amp;"-"&amp;COUNTIFS($C$5:C39,C39,$F$5:F39,F39,$H$5:H39,"Sim"),"")</f>
        <v>Tríceps-Isolado-1</v>
      </c>
    </row>
    <row r="40" spans="1:9" x14ac:dyDescent="0.3">
      <c r="A40" s="9">
        <v>36</v>
      </c>
      <c r="B40" s="9" t="s">
        <v>260</v>
      </c>
      <c r="C40" s="9" t="s">
        <v>42</v>
      </c>
      <c r="D40" s="9" t="s">
        <v>229</v>
      </c>
      <c r="E40" s="9" t="s">
        <v>261</v>
      </c>
      <c r="F40" s="9" t="s">
        <v>185</v>
      </c>
      <c r="G40" s="9" t="s">
        <v>32</v>
      </c>
      <c r="H40" s="15" t="str">
        <f>IF(MATCH(G40,Niveis!$A$5:$A$7,0)&lt;=MATCH(Gerador!$B$19,Niveis!$A$5:$A$7,0),"Sim","Não")</f>
        <v>Sim</v>
      </c>
      <c r="I40" s="13" t="str">
        <f>IF(H40="Sim",C40&amp;"-"&amp;F40&amp;"-"&amp;COUNTIFS($C$5:C40,C40,$F$5:F40,F40,$H$5:H40,"Sim"),"")</f>
        <v>Tríceps-Isolado-2</v>
      </c>
    </row>
    <row r="41" spans="1:9" x14ac:dyDescent="0.3">
      <c r="A41" s="9">
        <v>37</v>
      </c>
      <c r="B41" s="9" t="s">
        <v>262</v>
      </c>
      <c r="C41" s="9" t="s">
        <v>42</v>
      </c>
      <c r="D41" s="9" t="s">
        <v>229</v>
      </c>
      <c r="E41" s="9" t="s">
        <v>217</v>
      </c>
      <c r="F41" s="9" t="s">
        <v>185</v>
      </c>
      <c r="G41" s="9" t="s">
        <v>32</v>
      </c>
      <c r="H41" s="15" t="str">
        <f>IF(MATCH(G41,Niveis!$A$5:$A$7,0)&lt;=MATCH(Gerador!$B$19,Niveis!$A$5:$A$7,0),"Sim","Não")</f>
        <v>Sim</v>
      </c>
      <c r="I41" s="13" t="str">
        <f>IF(H41="Sim",C41&amp;"-"&amp;F41&amp;"-"&amp;COUNTIFS($C$5:C41,C41,$F$5:F41,F41,$H$5:H41,"Sim"),"")</f>
        <v>Tríceps-Isolado-3</v>
      </c>
    </row>
    <row r="42" spans="1:9" x14ac:dyDescent="0.3">
      <c r="A42" s="9">
        <v>38</v>
      </c>
      <c r="B42" s="9" t="s">
        <v>263</v>
      </c>
      <c r="C42" s="9" t="s">
        <v>44</v>
      </c>
      <c r="D42" s="9" t="s">
        <v>264</v>
      </c>
      <c r="E42" s="9" t="s">
        <v>213</v>
      </c>
      <c r="F42" s="9" t="s">
        <v>183</v>
      </c>
      <c r="G42" s="9" t="s">
        <v>32</v>
      </c>
      <c r="H42" s="15" t="str">
        <f>IF(MATCH(G42,Niveis!$A$5:$A$7,0)&lt;=MATCH(Gerador!$B$19,Niveis!$A$5:$A$7,0),"Sim","Não")</f>
        <v>Sim</v>
      </c>
      <c r="I42" s="13" t="str">
        <f>IF(H42="Sim",C42&amp;"-"&amp;F42&amp;"-"&amp;COUNTIFS($C$5:C42,C42,$F$5:F42,F42,$H$5:H42,"Sim"),"")</f>
        <v>Quadríceps-Composto-1</v>
      </c>
    </row>
    <row r="43" spans="1:9" x14ac:dyDescent="0.3">
      <c r="A43" s="9">
        <v>39</v>
      </c>
      <c r="B43" s="9" t="s">
        <v>265</v>
      </c>
      <c r="C43" s="9" t="s">
        <v>44</v>
      </c>
      <c r="D43" s="9" t="s">
        <v>266</v>
      </c>
      <c r="E43" s="9" t="s">
        <v>213</v>
      </c>
      <c r="F43" s="9" t="s">
        <v>183</v>
      </c>
      <c r="G43" s="9" t="s">
        <v>126</v>
      </c>
      <c r="H43" s="15" t="str">
        <f>IF(MATCH(G43,Niveis!$A$5:$A$7,0)&lt;=MATCH(Gerador!$B$19,Niveis!$A$5:$A$7,0),"Sim","Não")</f>
        <v>Sim</v>
      </c>
      <c r="I43" s="13" t="str">
        <f>IF(H43="Sim",C43&amp;"-"&amp;F43&amp;"-"&amp;COUNTIFS($C$5:C43,C43,$F$5:F43,F43,$H$5:H43,"Sim"),"")</f>
        <v>Quadríceps-Composto-2</v>
      </c>
    </row>
    <row r="44" spans="1:9" x14ac:dyDescent="0.3">
      <c r="A44" s="9">
        <v>40</v>
      </c>
      <c r="B44" s="9" t="s">
        <v>267</v>
      </c>
      <c r="C44" s="9" t="s">
        <v>44</v>
      </c>
      <c r="D44" s="9" t="s">
        <v>46</v>
      </c>
      <c r="E44" s="9" t="s">
        <v>220</v>
      </c>
      <c r="F44" s="9" t="s">
        <v>183</v>
      </c>
      <c r="G44" s="9" t="s">
        <v>32</v>
      </c>
      <c r="H44" s="15" t="str">
        <f>IF(MATCH(G44,Niveis!$A$5:$A$7,0)&lt;=MATCH(Gerador!$B$19,Niveis!$A$5:$A$7,0),"Sim","Não")</f>
        <v>Sim</v>
      </c>
      <c r="I44" s="13" t="str">
        <f>IF(H44="Sim",C44&amp;"-"&amp;F44&amp;"-"&amp;COUNTIFS($C$5:C44,C44,$F$5:F44,F44,$H$5:H44,"Sim"),"")</f>
        <v>Quadríceps-Composto-3</v>
      </c>
    </row>
    <row r="45" spans="1:9" x14ac:dyDescent="0.3">
      <c r="A45" s="9">
        <v>41</v>
      </c>
      <c r="B45" s="9" t="s">
        <v>268</v>
      </c>
      <c r="C45" s="9" t="s">
        <v>44</v>
      </c>
      <c r="D45" s="9" t="s">
        <v>46</v>
      </c>
      <c r="E45" s="9" t="s">
        <v>217</v>
      </c>
      <c r="F45" s="9" t="s">
        <v>183</v>
      </c>
      <c r="G45" s="9" t="s">
        <v>32</v>
      </c>
      <c r="H45" s="15" t="str">
        <f>IF(MATCH(G45,Niveis!$A$5:$A$7,0)&lt;=MATCH(Gerador!$B$19,Niveis!$A$5:$A$7,0),"Sim","Não")</f>
        <v>Sim</v>
      </c>
      <c r="I45" s="13" t="str">
        <f>IF(H45="Sim",C45&amp;"-"&amp;F45&amp;"-"&amp;COUNTIFS($C$5:C45,C45,$F$5:F45,F45,$H$5:H45,"Sim"),"")</f>
        <v>Quadríceps-Composto-4</v>
      </c>
    </row>
    <row r="46" spans="1:9" x14ac:dyDescent="0.3">
      <c r="A46" s="9">
        <v>42</v>
      </c>
      <c r="B46" s="9" t="s">
        <v>269</v>
      </c>
      <c r="C46" s="9" t="s">
        <v>44</v>
      </c>
      <c r="D46" s="9" t="s">
        <v>46</v>
      </c>
      <c r="E46" s="9" t="s">
        <v>220</v>
      </c>
      <c r="F46" s="9" t="s">
        <v>183</v>
      </c>
      <c r="G46" s="9" t="s">
        <v>121</v>
      </c>
      <c r="H46" s="15" t="str">
        <f>IF(MATCH(G46,Niveis!$A$5:$A$7,0)&lt;=MATCH(Gerador!$B$19,Niveis!$A$5:$A$7,0),"Sim","Não")</f>
        <v>Sim</v>
      </c>
      <c r="I46" s="13" t="str">
        <f>IF(H46="Sim",C46&amp;"-"&amp;F46&amp;"-"&amp;COUNTIFS($C$5:C46,C46,$F$5:F46,F46,$H$5:H46,"Sim"),"")</f>
        <v>Quadríceps-Composto-5</v>
      </c>
    </row>
    <row r="47" spans="1:9" x14ac:dyDescent="0.3">
      <c r="A47" s="9">
        <v>43</v>
      </c>
      <c r="B47" s="9" t="s">
        <v>270</v>
      </c>
      <c r="C47" s="9" t="s">
        <v>44</v>
      </c>
      <c r="D47" s="9" t="s">
        <v>271</v>
      </c>
      <c r="E47" s="9" t="s">
        <v>217</v>
      </c>
      <c r="F47" s="9" t="s">
        <v>183</v>
      </c>
      <c r="G47" s="9" t="s">
        <v>121</v>
      </c>
      <c r="H47" s="15" t="str">
        <f>IF(MATCH(G47,Niveis!$A$5:$A$7,0)&lt;=MATCH(Gerador!$B$19,Niveis!$A$5:$A$7,0),"Sim","Não")</f>
        <v>Sim</v>
      </c>
      <c r="I47" s="13" t="str">
        <f>IF(H47="Sim",C47&amp;"-"&amp;F47&amp;"-"&amp;COUNTIFS($C$5:C47,C47,$F$5:F47,F47,$H$5:H47,"Sim"),"")</f>
        <v>Quadríceps-Composto-6</v>
      </c>
    </row>
    <row r="48" spans="1:9" x14ac:dyDescent="0.3">
      <c r="A48" s="9">
        <v>44</v>
      </c>
      <c r="B48" s="9" t="s">
        <v>272</v>
      </c>
      <c r="C48" s="9" t="s">
        <v>44</v>
      </c>
      <c r="D48" s="9" t="s">
        <v>46</v>
      </c>
      <c r="E48" s="9" t="s">
        <v>273</v>
      </c>
      <c r="F48" s="9" t="s">
        <v>183</v>
      </c>
      <c r="G48" s="9" t="s">
        <v>121</v>
      </c>
      <c r="H48" s="15" t="str">
        <f>IF(MATCH(G48,Niveis!$A$5:$A$7,0)&lt;=MATCH(Gerador!$B$19,Niveis!$A$5:$A$7,0),"Sim","Não")</f>
        <v>Sim</v>
      </c>
      <c r="I48" s="13" t="str">
        <f>IF(H48="Sim",C48&amp;"-"&amp;F48&amp;"-"&amp;COUNTIFS($C$5:C48,C48,$F$5:F48,F48,$H$5:H48,"Sim"),"")</f>
        <v>Quadríceps-Composto-7</v>
      </c>
    </row>
    <row r="49" spans="1:9" x14ac:dyDescent="0.3">
      <c r="A49" s="9">
        <v>45</v>
      </c>
      <c r="B49" s="9" t="s">
        <v>274</v>
      </c>
      <c r="C49" s="9" t="s">
        <v>44</v>
      </c>
      <c r="D49" s="9" t="s">
        <v>46</v>
      </c>
      <c r="E49" s="9" t="s">
        <v>217</v>
      </c>
      <c r="F49" s="9" t="s">
        <v>183</v>
      </c>
      <c r="G49" s="9" t="s">
        <v>121</v>
      </c>
      <c r="H49" s="15" t="str">
        <f>IF(MATCH(G49,Niveis!$A$5:$A$7,0)&lt;=MATCH(Gerador!$B$19,Niveis!$A$5:$A$7,0),"Sim","Não")</f>
        <v>Sim</v>
      </c>
      <c r="I49" s="13" t="str">
        <f>IF(H49="Sim",C49&amp;"-"&amp;F49&amp;"-"&amp;COUNTIFS($C$5:C49,C49,$F$5:F49,F49,$H$5:H49,"Sim"),"")</f>
        <v>Quadríceps-Composto-8</v>
      </c>
    </row>
    <row r="50" spans="1:9" x14ac:dyDescent="0.3">
      <c r="A50" s="9">
        <v>46</v>
      </c>
      <c r="B50" s="9" t="s">
        <v>275</v>
      </c>
      <c r="C50" s="9" t="s">
        <v>44</v>
      </c>
      <c r="D50" s="9" t="s">
        <v>229</v>
      </c>
      <c r="E50" s="9" t="s">
        <v>220</v>
      </c>
      <c r="F50" s="9" t="s">
        <v>185</v>
      </c>
      <c r="G50" s="9" t="s">
        <v>121</v>
      </c>
      <c r="H50" s="15" t="str">
        <f>IF(MATCH(G50,Niveis!$A$5:$A$7,0)&lt;=MATCH(Gerador!$B$19,Niveis!$A$5:$A$7,0),"Sim","Não")</f>
        <v>Sim</v>
      </c>
      <c r="I50" s="13" t="str">
        <f>IF(H50="Sim",C50&amp;"-"&amp;F50&amp;"-"&amp;COUNTIFS($C$5:C50,C50,$F$5:F50,F50,$H$5:H50,"Sim"),"")</f>
        <v>Quadríceps-Isolado-1</v>
      </c>
    </row>
    <row r="51" spans="1:9" x14ac:dyDescent="0.3">
      <c r="A51" s="9">
        <v>47</v>
      </c>
      <c r="B51" s="9" t="s">
        <v>276</v>
      </c>
      <c r="C51" s="9" t="s">
        <v>45</v>
      </c>
      <c r="D51" s="9" t="s">
        <v>264</v>
      </c>
      <c r="E51" s="9" t="s">
        <v>213</v>
      </c>
      <c r="F51" s="9" t="s">
        <v>183</v>
      </c>
      <c r="G51" s="9" t="s">
        <v>32</v>
      </c>
      <c r="H51" s="15" t="str">
        <f>IF(MATCH(G51,Niveis!$A$5:$A$7,0)&lt;=MATCH(Gerador!$B$19,Niveis!$A$5:$A$7,0),"Sim","Não")</f>
        <v>Sim</v>
      </c>
      <c r="I51" s="13" t="str">
        <f>IF(H51="Sim",C51&amp;"-"&amp;F51&amp;"-"&amp;COUNTIFS($C$5:C51,C51,$F$5:F51,F51,$H$5:H51,"Sim"),"")</f>
        <v>Posterior de coxa-Composto-1</v>
      </c>
    </row>
    <row r="52" spans="1:9" x14ac:dyDescent="0.3">
      <c r="A52" s="9">
        <v>48</v>
      </c>
      <c r="B52" s="9" t="s">
        <v>277</v>
      </c>
      <c r="C52" s="9" t="s">
        <v>45</v>
      </c>
      <c r="D52" s="9" t="s">
        <v>278</v>
      </c>
      <c r="E52" s="9" t="s">
        <v>213</v>
      </c>
      <c r="F52" s="9" t="s">
        <v>183</v>
      </c>
      <c r="G52" s="9" t="s">
        <v>126</v>
      </c>
      <c r="H52" s="15" t="str">
        <f>IF(MATCH(G52,Niveis!$A$5:$A$7,0)&lt;=MATCH(Gerador!$B$19,Niveis!$A$5:$A$7,0),"Sim","Não")</f>
        <v>Sim</v>
      </c>
      <c r="I52" s="13" t="str">
        <f>IF(H52="Sim",C52&amp;"-"&amp;F52&amp;"-"&amp;COUNTIFS($C$5:C52,C52,$F$5:F52,F52,$H$5:H52,"Sim"),"")</f>
        <v>Posterior de coxa-Composto-2</v>
      </c>
    </row>
    <row r="53" spans="1:9" x14ac:dyDescent="0.3">
      <c r="A53" s="9">
        <v>49</v>
      </c>
      <c r="B53" s="9" t="s">
        <v>279</v>
      </c>
      <c r="C53" s="9" t="s">
        <v>45</v>
      </c>
      <c r="D53" s="9" t="s">
        <v>280</v>
      </c>
      <c r="E53" s="9" t="s">
        <v>281</v>
      </c>
      <c r="F53" s="9" t="s">
        <v>183</v>
      </c>
      <c r="G53" s="9" t="s">
        <v>32</v>
      </c>
      <c r="H53" s="15" t="str">
        <f>IF(MATCH(G53,Niveis!$A$5:$A$7,0)&lt;=MATCH(Gerador!$B$19,Niveis!$A$5:$A$7,0),"Sim","Não")</f>
        <v>Sim</v>
      </c>
      <c r="I53" s="13" t="str">
        <f>IF(H53="Sim",C53&amp;"-"&amp;F53&amp;"-"&amp;COUNTIFS($C$5:C53,C53,$F$5:F53,F53,$H$5:H53,"Sim"),"")</f>
        <v>Posterior de coxa-Composto-3</v>
      </c>
    </row>
    <row r="54" spans="1:9" x14ac:dyDescent="0.3">
      <c r="A54" s="9">
        <v>50</v>
      </c>
      <c r="B54" s="9" t="s">
        <v>282</v>
      </c>
      <c r="C54" s="9" t="s">
        <v>45</v>
      </c>
      <c r="D54" s="9" t="s">
        <v>264</v>
      </c>
      <c r="E54" s="9" t="s">
        <v>217</v>
      </c>
      <c r="F54" s="9" t="s">
        <v>183</v>
      </c>
      <c r="G54" s="9" t="s">
        <v>121</v>
      </c>
      <c r="H54" s="15" t="str">
        <f>IF(MATCH(G54,Niveis!$A$5:$A$7,0)&lt;=MATCH(Gerador!$B$19,Niveis!$A$5:$A$7,0),"Sim","Não")</f>
        <v>Sim</v>
      </c>
      <c r="I54" s="13" t="str">
        <f>IF(H54="Sim",C54&amp;"-"&amp;F54&amp;"-"&amp;COUNTIFS($C$5:C54,C54,$F$5:F54,F54,$H$5:H54,"Sim"),"")</f>
        <v>Posterior de coxa-Composto-4</v>
      </c>
    </row>
    <row r="55" spans="1:9" x14ac:dyDescent="0.3">
      <c r="A55" s="9">
        <v>51</v>
      </c>
      <c r="B55" s="9" t="s">
        <v>283</v>
      </c>
      <c r="C55" s="9" t="s">
        <v>45</v>
      </c>
      <c r="D55" s="9" t="s">
        <v>229</v>
      </c>
      <c r="E55" s="9" t="s">
        <v>220</v>
      </c>
      <c r="F55" s="9" t="s">
        <v>185</v>
      </c>
      <c r="G55" s="9" t="s">
        <v>121</v>
      </c>
      <c r="H55" s="15" t="str">
        <f>IF(MATCH(G55,Niveis!$A$5:$A$7,0)&lt;=MATCH(Gerador!$B$19,Niveis!$A$5:$A$7,0),"Sim","Não")</f>
        <v>Sim</v>
      </c>
      <c r="I55" s="13" t="str">
        <f>IF(H55="Sim",C55&amp;"-"&amp;F55&amp;"-"&amp;COUNTIFS($C$5:C55,C55,$F$5:F55,F55,$H$5:H55,"Sim"),"")</f>
        <v>Posterior de coxa-Isolado-1</v>
      </c>
    </row>
    <row r="56" spans="1:9" x14ac:dyDescent="0.3">
      <c r="A56" s="9">
        <v>52</v>
      </c>
      <c r="B56" s="9" t="s">
        <v>284</v>
      </c>
      <c r="C56" s="9" t="s">
        <v>45</v>
      </c>
      <c r="D56" s="9" t="s">
        <v>229</v>
      </c>
      <c r="E56" s="9" t="s">
        <v>220</v>
      </c>
      <c r="F56" s="9" t="s">
        <v>185</v>
      </c>
      <c r="G56" s="9" t="s">
        <v>121</v>
      </c>
      <c r="H56" s="15" t="str">
        <f>IF(MATCH(G56,Niveis!$A$5:$A$7,0)&lt;=MATCH(Gerador!$B$19,Niveis!$A$5:$A$7,0),"Sim","Não")</f>
        <v>Sim</v>
      </c>
      <c r="I56" s="13" t="str">
        <f>IF(H56="Sim",C56&amp;"-"&amp;F56&amp;"-"&amp;COUNTIFS($C$5:C56,C56,$F$5:F56,F56,$H$5:H56,"Sim"),"")</f>
        <v>Posterior de coxa-Isolado-2</v>
      </c>
    </row>
    <row r="57" spans="1:9" x14ac:dyDescent="0.3">
      <c r="A57" s="9">
        <v>53</v>
      </c>
      <c r="B57" s="9" t="s">
        <v>285</v>
      </c>
      <c r="C57" s="9" t="s">
        <v>46</v>
      </c>
      <c r="D57" s="9" t="s">
        <v>45</v>
      </c>
      <c r="E57" s="9" t="s">
        <v>213</v>
      </c>
      <c r="F57" s="9" t="s">
        <v>183</v>
      </c>
      <c r="G57" s="9" t="s">
        <v>32</v>
      </c>
      <c r="H57" s="15" t="str">
        <f>IF(MATCH(G57,Niveis!$A$5:$A$7,0)&lt;=MATCH(Gerador!$B$19,Niveis!$A$5:$A$7,0),"Sim","Não")</f>
        <v>Sim</v>
      </c>
      <c r="I57" s="13" t="str">
        <f>IF(H57="Sim",C57&amp;"-"&amp;F57&amp;"-"&amp;COUNTIFS($C$5:C57,C57,$F$5:F57,F57,$H$5:H57,"Sim"),"")</f>
        <v>Glúteos-Composto-1</v>
      </c>
    </row>
    <row r="58" spans="1:9" x14ac:dyDescent="0.3">
      <c r="A58" s="9">
        <v>54</v>
      </c>
      <c r="B58" s="9" t="s">
        <v>286</v>
      </c>
      <c r="C58" s="9" t="s">
        <v>46</v>
      </c>
      <c r="D58" s="9" t="s">
        <v>45</v>
      </c>
      <c r="E58" s="9" t="s">
        <v>223</v>
      </c>
      <c r="F58" s="9" t="s">
        <v>183</v>
      </c>
      <c r="G58" s="9" t="s">
        <v>121</v>
      </c>
      <c r="H58" s="15" t="str">
        <f>IF(MATCH(G58,Niveis!$A$5:$A$7,0)&lt;=MATCH(Gerador!$B$19,Niveis!$A$5:$A$7,0),"Sim","Não")</f>
        <v>Sim</v>
      </c>
      <c r="I58" s="13" t="str">
        <f>IF(H58="Sim",C58&amp;"-"&amp;F58&amp;"-"&amp;COUNTIFS($C$5:C58,C58,$F$5:F58,F58,$H$5:H58,"Sim"),"")</f>
        <v>Glúteos-Composto-2</v>
      </c>
    </row>
    <row r="59" spans="1:9" x14ac:dyDescent="0.3">
      <c r="A59" s="9">
        <v>55</v>
      </c>
      <c r="B59" s="9" t="s">
        <v>287</v>
      </c>
      <c r="C59" s="9" t="s">
        <v>46</v>
      </c>
      <c r="D59" s="9" t="s">
        <v>288</v>
      </c>
      <c r="E59" s="9" t="s">
        <v>217</v>
      </c>
      <c r="F59" s="9" t="s">
        <v>183</v>
      </c>
      <c r="G59" s="9" t="s">
        <v>121</v>
      </c>
      <c r="H59" s="15" t="str">
        <f>IF(MATCH(G59,Niveis!$A$5:$A$7,0)&lt;=MATCH(Gerador!$B$19,Niveis!$A$5:$A$7,0),"Sim","Não")</f>
        <v>Sim</v>
      </c>
      <c r="I59" s="13" t="str">
        <f>IF(H59="Sim",C59&amp;"-"&amp;F59&amp;"-"&amp;COUNTIFS($C$5:C59,C59,$F$5:F59,F59,$H$5:H59,"Sim"),"")</f>
        <v>Glúteos-Composto-3</v>
      </c>
    </row>
    <row r="60" spans="1:9" x14ac:dyDescent="0.3">
      <c r="A60" s="9">
        <v>56</v>
      </c>
      <c r="B60" s="9" t="s">
        <v>289</v>
      </c>
      <c r="C60" s="9" t="s">
        <v>46</v>
      </c>
      <c r="D60" s="9" t="s">
        <v>229</v>
      </c>
      <c r="E60" s="9" t="s">
        <v>226</v>
      </c>
      <c r="F60" s="9" t="s">
        <v>185</v>
      </c>
      <c r="G60" s="9" t="s">
        <v>121</v>
      </c>
      <c r="H60" s="15" t="str">
        <f>IF(MATCH(G60,Niveis!$A$5:$A$7,0)&lt;=MATCH(Gerador!$B$19,Niveis!$A$5:$A$7,0),"Sim","Não")</f>
        <v>Sim</v>
      </c>
      <c r="I60" s="13" t="str">
        <f>IF(H60="Sim",C60&amp;"-"&amp;F60&amp;"-"&amp;COUNTIFS($C$5:C60,C60,$F$5:F60,F60,$H$5:H60,"Sim"),"")</f>
        <v>Glúteos-Isolado-1</v>
      </c>
    </row>
    <row r="61" spans="1:9" x14ac:dyDescent="0.3">
      <c r="A61" s="9">
        <v>57</v>
      </c>
      <c r="B61" s="9" t="s">
        <v>290</v>
      </c>
      <c r="C61" s="9" t="s">
        <v>46</v>
      </c>
      <c r="D61" s="9" t="s">
        <v>229</v>
      </c>
      <c r="E61" s="9" t="s">
        <v>220</v>
      </c>
      <c r="F61" s="9" t="s">
        <v>185</v>
      </c>
      <c r="G61" s="9" t="s">
        <v>121</v>
      </c>
      <c r="H61" s="15" t="str">
        <f>IF(MATCH(G61,Niveis!$A$5:$A$7,0)&lt;=MATCH(Gerador!$B$19,Niveis!$A$5:$A$7,0),"Sim","Não")</f>
        <v>Sim</v>
      </c>
      <c r="I61" s="13" t="str">
        <f>IF(H61="Sim",C61&amp;"-"&amp;F61&amp;"-"&amp;COUNTIFS($C$5:C61,C61,$F$5:F61,F61,$H$5:H61,"Sim"),"")</f>
        <v>Glúteos-Isolado-2</v>
      </c>
    </row>
    <row r="62" spans="1:9" x14ac:dyDescent="0.3">
      <c r="A62" s="9">
        <v>58</v>
      </c>
      <c r="B62" s="9" t="s">
        <v>291</v>
      </c>
      <c r="C62" s="9" t="s">
        <v>46</v>
      </c>
      <c r="D62" s="9" t="s">
        <v>45</v>
      </c>
      <c r="E62" s="9" t="s">
        <v>220</v>
      </c>
      <c r="F62" s="9" t="s">
        <v>185</v>
      </c>
      <c r="G62" s="9" t="s">
        <v>121</v>
      </c>
      <c r="H62" s="15" t="str">
        <f>IF(MATCH(G62,Niveis!$A$5:$A$7,0)&lt;=MATCH(Gerador!$B$19,Niveis!$A$5:$A$7,0),"Sim","Não")</f>
        <v>Sim</v>
      </c>
      <c r="I62" s="13" t="str">
        <f>IF(H62="Sim",C62&amp;"-"&amp;F62&amp;"-"&amp;COUNTIFS($C$5:C62,C62,$F$5:F62,F62,$H$5:H62,"Sim"),"")</f>
        <v>Glúteos-Isolado-3</v>
      </c>
    </row>
    <row r="63" spans="1:9" x14ac:dyDescent="0.3">
      <c r="A63" s="9">
        <v>59</v>
      </c>
      <c r="B63" s="9" t="s">
        <v>292</v>
      </c>
      <c r="C63" s="9" t="s">
        <v>47</v>
      </c>
      <c r="D63" s="9" t="s">
        <v>229</v>
      </c>
      <c r="E63" s="9" t="s">
        <v>220</v>
      </c>
      <c r="F63" s="9" t="s">
        <v>185</v>
      </c>
      <c r="G63" s="9" t="s">
        <v>121</v>
      </c>
      <c r="H63" s="15" t="str">
        <f>IF(MATCH(G63,Niveis!$A$5:$A$7,0)&lt;=MATCH(Gerador!$B$19,Niveis!$A$5:$A$7,0),"Sim","Não")</f>
        <v>Sim</v>
      </c>
      <c r="I63" s="13" t="str">
        <f>IF(H63="Sim",C63&amp;"-"&amp;F63&amp;"-"&amp;COUNTIFS($C$5:C63,C63,$F$5:F63,F63,$H$5:H63,"Sim"),"")</f>
        <v>Panturrilha-Isolado-1</v>
      </c>
    </row>
    <row r="64" spans="1:9" x14ac:dyDescent="0.3">
      <c r="A64" s="9">
        <v>60</v>
      </c>
      <c r="B64" s="9" t="s">
        <v>293</v>
      </c>
      <c r="C64" s="9" t="s">
        <v>47</v>
      </c>
      <c r="D64" s="9" t="s">
        <v>229</v>
      </c>
      <c r="E64" s="9" t="s">
        <v>220</v>
      </c>
      <c r="F64" s="9" t="s">
        <v>185</v>
      </c>
      <c r="G64" s="9" t="s">
        <v>121</v>
      </c>
      <c r="H64" s="15" t="str">
        <f>IF(MATCH(G64,Niveis!$A$5:$A$7,0)&lt;=MATCH(Gerador!$B$19,Niveis!$A$5:$A$7,0),"Sim","Não")</f>
        <v>Sim</v>
      </c>
      <c r="I64" s="13" t="str">
        <f>IF(H64="Sim",C64&amp;"-"&amp;F64&amp;"-"&amp;COUNTIFS($C$5:C64,C64,$F$5:F64,F64,$H$5:H64,"Sim"),"")</f>
        <v>Panturrilha-Isolado-2</v>
      </c>
    </row>
    <row r="65" spans="1:9" x14ac:dyDescent="0.3">
      <c r="A65" s="9">
        <v>61</v>
      </c>
      <c r="B65" s="9" t="s">
        <v>294</v>
      </c>
      <c r="C65" s="9" t="s">
        <v>47</v>
      </c>
      <c r="D65" s="9" t="s">
        <v>229</v>
      </c>
      <c r="E65" s="9" t="s">
        <v>220</v>
      </c>
      <c r="F65" s="9" t="s">
        <v>185</v>
      </c>
      <c r="G65" s="9" t="s">
        <v>121</v>
      </c>
      <c r="H65" s="15" t="str">
        <f>IF(MATCH(G65,Niveis!$A$5:$A$7,0)&lt;=MATCH(Gerador!$B$19,Niveis!$A$5:$A$7,0),"Sim","Não")</f>
        <v>Sim</v>
      </c>
      <c r="I65" s="13" t="str">
        <f>IF(H65="Sim",C65&amp;"-"&amp;F65&amp;"-"&amp;COUNTIFS($C$5:C65,C65,$F$5:F65,F65,$H$5:H65,"Sim"),"")</f>
        <v>Panturrilha-Isolado-3</v>
      </c>
    </row>
    <row r="66" spans="1:9" x14ac:dyDescent="0.3">
      <c r="A66" s="9">
        <v>62</v>
      </c>
      <c r="B66" s="9" t="s">
        <v>295</v>
      </c>
      <c r="C66" s="9" t="s">
        <v>48</v>
      </c>
      <c r="D66" s="9" t="s">
        <v>229</v>
      </c>
      <c r="E66" s="9" t="s">
        <v>226</v>
      </c>
      <c r="F66" s="9" t="s">
        <v>185</v>
      </c>
      <c r="G66" s="9" t="s">
        <v>32</v>
      </c>
      <c r="H66" s="15" t="str">
        <f>IF(MATCH(G66,Niveis!$A$5:$A$7,0)&lt;=MATCH(Gerador!$B$19,Niveis!$A$5:$A$7,0),"Sim","Não")</f>
        <v>Sim</v>
      </c>
      <c r="I66" s="13" t="str">
        <f>IF(H66="Sim",C66&amp;"-"&amp;F66&amp;"-"&amp;COUNTIFS($C$5:C66,C66,$F$5:F66,F66,$H$5:H66,"Sim"),"")</f>
        <v>Abdômen-Isolado-1</v>
      </c>
    </row>
    <row r="67" spans="1:9" x14ac:dyDescent="0.3">
      <c r="A67" s="9">
        <v>63</v>
      </c>
      <c r="B67" s="9" t="s">
        <v>296</v>
      </c>
      <c r="C67" s="9" t="s">
        <v>48</v>
      </c>
      <c r="D67" s="9" t="s">
        <v>52</v>
      </c>
      <c r="E67" s="9" t="s">
        <v>223</v>
      </c>
      <c r="F67" s="9" t="s">
        <v>185</v>
      </c>
      <c r="G67" s="9" t="s">
        <v>32</v>
      </c>
      <c r="H67" s="15" t="str">
        <f>IF(MATCH(G67,Niveis!$A$5:$A$7,0)&lt;=MATCH(Gerador!$B$19,Niveis!$A$5:$A$7,0),"Sim","Não")</f>
        <v>Sim</v>
      </c>
      <c r="I67" s="13" t="str">
        <f>IF(H67="Sim",C67&amp;"-"&amp;F67&amp;"-"&amp;COUNTIFS($C$5:C67,C67,$F$5:F67,F67,$H$5:H67,"Sim"),"")</f>
        <v>Abdômen-Isolado-2</v>
      </c>
    </row>
    <row r="68" spans="1:9" x14ac:dyDescent="0.3">
      <c r="A68" s="9">
        <v>64</v>
      </c>
      <c r="B68" s="9" t="s">
        <v>297</v>
      </c>
      <c r="C68" s="9" t="s">
        <v>48</v>
      </c>
      <c r="D68" s="9" t="s">
        <v>34</v>
      </c>
      <c r="E68" s="9" t="s">
        <v>298</v>
      </c>
      <c r="F68" s="9" t="s">
        <v>185</v>
      </c>
      <c r="G68" s="9" t="s">
        <v>126</v>
      </c>
      <c r="H68" s="15" t="str">
        <f>IF(MATCH(G68,Niveis!$A$5:$A$7,0)&lt;=MATCH(Gerador!$B$19,Niveis!$A$5:$A$7,0),"Sim","Não")</f>
        <v>Sim</v>
      </c>
      <c r="I68" s="13" t="str">
        <f>IF(H68="Sim",C68&amp;"-"&amp;F68&amp;"-"&amp;COUNTIFS($C$5:C68,C68,$F$5:F68,F68,$H$5:H68,"Sim"),"")</f>
        <v>Abdômen-Isolado-3</v>
      </c>
    </row>
    <row r="69" spans="1:9" x14ac:dyDescent="0.3">
      <c r="A69" s="9">
        <v>65</v>
      </c>
      <c r="B69" s="9" t="s">
        <v>299</v>
      </c>
      <c r="C69" s="9" t="s">
        <v>48</v>
      </c>
      <c r="D69" s="9" t="s">
        <v>229</v>
      </c>
      <c r="E69" s="9" t="s">
        <v>223</v>
      </c>
      <c r="F69" s="9" t="s">
        <v>185</v>
      </c>
      <c r="G69" s="9" t="s">
        <v>121</v>
      </c>
      <c r="H69" s="15" t="str">
        <f>IF(MATCH(G69,Niveis!$A$5:$A$7,0)&lt;=MATCH(Gerador!$B$19,Niveis!$A$5:$A$7,0),"Sim","Não")</f>
        <v>Sim</v>
      </c>
      <c r="I69" s="13" t="str">
        <f>IF(H69="Sim",C69&amp;"-"&amp;F69&amp;"-"&amp;COUNTIFS($C$5:C69,C69,$F$5:F69,F69,$H$5:H69,"Sim"),"")</f>
        <v>Abdômen-Isolado-4</v>
      </c>
    </row>
    <row r="70" spans="1:9" x14ac:dyDescent="0.3">
      <c r="A70" s="9">
        <v>66</v>
      </c>
      <c r="B70" s="9" t="s">
        <v>300</v>
      </c>
      <c r="C70" s="9" t="s">
        <v>48</v>
      </c>
      <c r="D70" s="9" t="s">
        <v>301</v>
      </c>
      <c r="E70" s="9" t="s">
        <v>223</v>
      </c>
      <c r="F70" s="9" t="s">
        <v>185</v>
      </c>
      <c r="G70" s="9" t="s">
        <v>121</v>
      </c>
      <c r="H70" s="15" t="str">
        <f>IF(MATCH(G70,Niveis!$A$5:$A$7,0)&lt;=MATCH(Gerador!$B$19,Niveis!$A$5:$A$7,0),"Sim","Não")</f>
        <v>Sim</v>
      </c>
      <c r="I70" s="13" t="str">
        <f>IF(H70="Sim",C70&amp;"-"&amp;F70&amp;"-"&amp;COUNTIFS($C$5:C70,C70,$F$5:F70,F70,$H$5:H70,"Sim"),"")</f>
        <v>Abdômen-Isolado-5</v>
      </c>
    </row>
    <row r="71" spans="1:9" x14ac:dyDescent="0.3">
      <c r="A71" s="9">
        <v>67</v>
      </c>
      <c r="B71" s="9" t="s">
        <v>302</v>
      </c>
      <c r="C71" s="9" t="s">
        <v>48</v>
      </c>
      <c r="D71" s="9" t="s">
        <v>229</v>
      </c>
      <c r="E71" s="9" t="s">
        <v>223</v>
      </c>
      <c r="F71" s="9" t="s">
        <v>185</v>
      </c>
      <c r="G71" s="9" t="s">
        <v>121</v>
      </c>
      <c r="H71" s="15" t="str">
        <f>IF(MATCH(G71,Niveis!$A$5:$A$7,0)&lt;=MATCH(Gerador!$B$19,Niveis!$A$5:$A$7,0),"Sim","Não")</f>
        <v>Sim</v>
      </c>
      <c r="I71" s="13" t="str">
        <f>IF(H71="Sim",C71&amp;"-"&amp;F71&amp;"-"&amp;COUNTIFS($C$5:C71,C71,$F$5:F71,F71,$H$5:H71,"Sim"),"")</f>
        <v>Abdômen-Isolado-6</v>
      </c>
    </row>
    <row r="72" spans="1:9" x14ac:dyDescent="0.3">
      <c r="A72" s="9">
        <v>68</v>
      </c>
      <c r="B72" s="9" t="s">
        <v>303</v>
      </c>
      <c r="C72" s="9" t="s">
        <v>49</v>
      </c>
      <c r="D72" s="9" t="s">
        <v>304</v>
      </c>
      <c r="E72" s="9" t="s">
        <v>305</v>
      </c>
      <c r="F72" s="9" t="s">
        <v>185</v>
      </c>
      <c r="G72" s="9" t="s">
        <v>121</v>
      </c>
      <c r="H72" s="15" t="str">
        <f>IF(MATCH(G72,Niveis!$A$5:$A$7,0)&lt;=MATCH(Gerador!$B$19,Niveis!$A$5:$A$7,0),"Sim","Não")</f>
        <v>Sim</v>
      </c>
      <c r="I72" s="13" t="str">
        <f>IF(H72="Sim",C72&amp;"-"&amp;F72&amp;"-"&amp;COUNTIFS($C$5:C72,C72,$F$5:F72,F72,$H$5:H72,"Sim"),"")</f>
        <v>Lombar-Isolado-1</v>
      </c>
    </row>
    <row r="73" spans="1:9" x14ac:dyDescent="0.3">
      <c r="A73" s="9">
        <v>69</v>
      </c>
      <c r="B73" s="9" t="s">
        <v>306</v>
      </c>
      <c r="C73" s="9" t="s">
        <v>49</v>
      </c>
      <c r="D73" s="9" t="s">
        <v>46</v>
      </c>
      <c r="E73" s="9" t="s">
        <v>223</v>
      </c>
      <c r="F73" s="9" t="s">
        <v>185</v>
      </c>
      <c r="G73" s="9" t="s">
        <v>121</v>
      </c>
      <c r="H73" s="15" t="str">
        <f>IF(MATCH(G73,Niveis!$A$5:$A$7,0)&lt;=MATCH(Gerador!$B$19,Niveis!$A$5:$A$7,0),"Sim","Não")</f>
        <v>Sim</v>
      </c>
      <c r="I73" s="13" t="str">
        <f>IF(H73="Sim",C73&amp;"-"&amp;F73&amp;"-"&amp;COUNTIFS($C$5:C73,C73,$F$5:F73,F73,$H$5:H73,"Sim"),"")</f>
        <v>Lombar-Isolado-2</v>
      </c>
    </row>
    <row r="74" spans="1:9" x14ac:dyDescent="0.3">
      <c r="A74" s="9">
        <v>70</v>
      </c>
      <c r="B74" s="9" t="s">
        <v>307</v>
      </c>
      <c r="C74" s="9" t="s">
        <v>52</v>
      </c>
      <c r="D74" s="9" t="s">
        <v>229</v>
      </c>
      <c r="E74" s="9" t="s">
        <v>217</v>
      </c>
      <c r="F74" s="9" t="s">
        <v>185</v>
      </c>
      <c r="G74" s="9" t="s">
        <v>121</v>
      </c>
      <c r="H74" s="15" t="str">
        <f>IF(MATCH(G74,Niveis!$A$5:$A$7,0)&lt;=MATCH(Gerador!$B$19,Niveis!$A$5:$A$7,0),"Sim","Não")</f>
        <v>Sim</v>
      </c>
      <c r="I74" s="13" t="str">
        <f>IF(H74="Sim",C74&amp;"-"&amp;F74&amp;"-"&amp;COUNTIFS($C$5:C74,C74,$F$5:F74,F74,$H$5:H74,"Sim"),"")</f>
        <v>Antebraço-Isolado-1</v>
      </c>
    </row>
    <row r="75" spans="1:9" x14ac:dyDescent="0.3">
      <c r="A75" s="9">
        <v>71</v>
      </c>
      <c r="B75" s="9" t="s">
        <v>308</v>
      </c>
      <c r="C75" s="9" t="s">
        <v>52</v>
      </c>
      <c r="D75" s="9" t="s">
        <v>39</v>
      </c>
      <c r="E75" s="9" t="s">
        <v>213</v>
      </c>
      <c r="F75" s="9" t="s">
        <v>185</v>
      </c>
      <c r="G75" s="9" t="s">
        <v>121</v>
      </c>
      <c r="H75" s="15" t="str">
        <f>IF(MATCH(G75,Niveis!$A$5:$A$7,0)&lt;=MATCH(Gerador!$B$19,Niveis!$A$5:$A$7,0),"Sim","Não")</f>
        <v>Sim</v>
      </c>
      <c r="I75" s="13" t="str">
        <f>IF(H75="Sim",C75&amp;"-"&amp;F75&amp;"-"&amp;COUNTIFS($C$5:C75,C75,$F$5:F75,F75,$H$5:H75,"Sim"),"")</f>
        <v>Antebraço-Isolado-2</v>
      </c>
    </row>
  </sheetData>
  <autoFilter ref="A4:I75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LeiaMe</vt:lpstr>
      <vt:lpstr>Gerador</vt:lpstr>
      <vt:lpstr>Algoritmo</vt:lpstr>
      <vt:lpstr>Niveis</vt:lpstr>
      <vt:lpstr>Objetivos</vt:lpstr>
      <vt:lpstr>Sessoes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Monteiro</cp:lastModifiedBy>
  <cp:revision>0</cp:revision>
  <dcterms:created xsi:type="dcterms:W3CDTF">2026-09-30T19:37:11Z</dcterms:created>
  <dcterms:modified xsi:type="dcterms:W3CDTF">2026-09-30T19:50:53Z</dcterms:modified>
  <dc:language>en-US</dc:language>
</cp:coreProperties>
</file>