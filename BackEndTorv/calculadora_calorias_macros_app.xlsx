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r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<sst xmlns="http://schemas.openxmlformats.org/spreadsheetml/2006/main" count="133" uniqueCount="129">
  <si>
    <t xml:space="preserve">Calculadora de Calorias e Macronutrientes</t>
  </si>
  <si>
    <t xml:space="preserve">Base genérica para a versão free do app. Preencha os campos em amarelo.</t>
  </si>
  <si>
    <t xml:space="preserve">DADOS PESSOAIS</t>
  </si>
  <si>
    <t xml:space="preserve">Sexo (M ou F)</t>
  </si>
  <si>
    <t xml:space="preserve">M</t>
  </si>
  <si>
    <t xml:space="preserve">Peso (kg)</t>
  </si>
  <si>
    <t xml:space="preserve">Altura (cm)</t>
  </si>
  <si>
    <t xml:space="preserve">Idade (anos)</t>
  </si>
  <si>
    <t xml:space="preserve">AVALIAÇÃO DE PESO — peso x altura x idade</t>
  </si>
  <si>
    <t xml:space="preserve">IMC (kg/m²)</t>
  </si>
  <si>
    <t xml:space="preserve">Classificação</t>
  </si>
  <si>
    <t xml:space="preserve">Faixa etária</t>
  </si>
  <si>
    <t xml:space="preserve">Abaixo do peso</t>
  </si>
  <si>
    <t xml:space="preserve">Peso ideal</t>
  </si>
  <si>
    <t xml:space="preserve">Acima do peso</t>
  </si>
  <si>
    <t xml:space="preserve">Até 64 anos</t>
  </si>
  <si>
    <t xml:space="preserve">IMC &lt; 18,5</t>
  </si>
  <si>
    <t xml:space="preserve">18,5 ≤ IMC &lt; 25</t>
  </si>
  <si>
    <t xml:space="preserve">IMC ≥ 25 (sobrepeso/obesidade)</t>
  </si>
  <si>
    <t xml:space="preserve">65 anos ou mais</t>
  </si>
  <si>
    <t xml:space="preserve">IMC &lt; 22</t>
  </si>
  <si>
    <t xml:space="preserve">22 ≤ IMC ≤ 27</t>
  </si>
  <si>
    <t xml:space="preserve">IMC &gt; 27</t>
  </si>
  <si>
    <t xml:space="preserve">Fórmula: IMC = peso (kg) ÷ [altura (m)]²  —  Métrica generalista (não distingue massa magra de gordura, nem biotipo); adequada como triagem simples da versão free, não substitui avaliação de composição corporal. Faixa de idosos usa o critério de Lipschitz (65+), mais permissivo que o padrão OMS adulto.</t>
  </si>
  <si>
    <t xml:space="preserve">NÍVEL FÍSICO (tela 'Nível físico' do app)</t>
  </si>
  <si>
    <t xml:space="preserve">Nível físico selecionado (1 a 3)</t>
  </si>
  <si>
    <t xml:space="preserve">1=Iniciante 2=Intermediário 3=Avançado</t>
  </si>
  <si>
    <t xml:space="preserve">Código</t>
  </si>
  <si>
    <t xml:space="preserve">Nível físico</t>
  </si>
  <si>
    <t xml:space="preserve">Descrição (texto do app)</t>
  </si>
  <si>
    <t xml:space="preserve">Fator de atividade</t>
  </si>
  <si>
    <t xml:space="preserve">Iniciante</t>
  </si>
  <si>
    <t xml:space="preserve">Está começando agora ou treina raramente. Construção de base do zero.</t>
  </si>
  <si>
    <t xml:space="preserve">Intermediário</t>
  </si>
  <si>
    <t xml:space="preserve">Treina com regularidade. Quer evoluir com mais inteligência e consistência.</t>
  </si>
  <si>
    <t xml:space="preserve">Avançado</t>
  </si>
  <si>
    <t xml:space="preserve">Treina pesado há muito tempo. Busca performance máxima e superação.</t>
  </si>
  <si>
    <t xml:space="preserve">OBJETIVO (tela 'Qual seu objetivo?' do app) — aceita múltipla seleção</t>
  </si>
  <si>
    <t xml:space="preserve">Marque 1 na coluna 'Selecionado?' para cada objetivo desejado (0 = não selecionado). Pode marcar mais de um ao mesmo tempo.</t>
  </si>
  <si>
    <t xml:space="preserve">Objetivo</t>
  </si>
  <si>
    <t xml:space="preserve">Lógica aplicada</t>
  </si>
  <si>
    <t xml:space="preserve">Ajuste calórico (kcal/dia)</t>
  </si>
  <si>
    <t xml:space="preserve">% Proteína</t>
  </si>
  <si>
    <t xml:space="preserve">% Carbo</t>
  </si>
  <si>
    <t xml:space="preserve">% Gordura</t>
  </si>
  <si>
    <t xml:space="preserve">Selecionado? (1=Sim/0=Não)</t>
  </si>
  <si>
    <t xml:space="preserve">Ajuste efetivo (regra IMC)</t>
  </si>
  <si>
    <t xml:space="preserve">Perder Peso</t>
  </si>
  <si>
    <t xml:space="preserve">Déficit calórico moderado + proteína alta para preservar massa magra durante a perda de peso.</t>
  </si>
  <si>
    <t xml:space="preserve">Ganhar Massa Muscular</t>
  </si>
  <si>
    <t xml:space="preserve">Superávit calórico + proteína alta e carboidrato elevado para sustentar treino de força e síntese muscular.</t>
  </si>
  <si>
    <t xml:space="preserve">Melhorar Condicionamento</t>
  </si>
  <si>
    <t xml:space="preserve">Manutenção calórica + carboidrato moderado-alto para sustentar volume de treino cardio/HIIT.</t>
  </si>
  <si>
    <t xml:space="preserve">Aumentar Resistência</t>
  </si>
  <si>
    <t xml:space="preserve">Leve superávit + carboidrato alto (combustível para treinos longos/endurance).</t>
  </si>
  <si>
    <t xml:space="preserve">Criar uma Rotina</t>
  </si>
  <si>
    <t xml:space="preserve">Manutenção calórica com distribuição balanceada, foco em consistência e adesão.</t>
  </si>
  <si>
    <t xml:space="preserve">Saúde &amp; Bem-estar</t>
  </si>
  <si>
    <t xml:space="preserve">Manutenção calórica com distribuição balanceada e generalista.</t>
  </si>
  <si>
    <t xml:space="preserve">Vários objetivos podem ser marcados ao mesmo tempo: o resultado final usa a MÉDIA do ajuste calórico e dos percentuais de macro entre os objetivos selecionados (a regra de segurança por IMC já é aplicada objetivo a objetivo, antes da média — coluna 'Ajuste efetivo'). Ajustes e percentuais são a linha de base genérica da versão free; podem ser refinados depois com dados reais de uso.</t>
  </si>
  <si>
    <t xml:space="preserve">GASTO CALÓRICO (Mifflin-St Jeor)</t>
  </si>
  <si>
    <t xml:space="preserve">Fator de atividade (via nível físico)</t>
  </si>
  <si>
    <t xml:space="preserve">TMB - Taxa Metabólica Basal (kcal)</t>
  </si>
  <si>
    <t xml:space="preserve">TDEE - Manutenção (kcal)</t>
  </si>
  <si>
    <t xml:space="preserve">Fórmula: Homens = (10×peso)+(6,25×altura)-(5×idade)+5 | Mulheres = (10×peso)+(6,25×altura)-(5×idade)-161</t>
  </si>
  <si>
    <t xml:space="preserve">RESULTADO FINAL — conforme nível físico, IMC e objetivo(s) selecionados</t>
  </si>
  <si>
    <t xml:space="preserve">Nº de objetivos selecionados</t>
  </si>
  <si>
    <t xml:space="preserve">Objetivos selecionados</t>
  </si>
  <si>
    <t xml:space="preserve">Alerta de conflito</t>
  </si>
  <si>
    <t xml:space="preserve">Ajuste calórico médio (kcal/dia)</t>
  </si>
  <si>
    <t xml:space="preserve">CALORIAS TOTAIS DIÁRIAS (kcal)</t>
  </si>
  <si>
    <t xml:space="preserve">% Proteína (média dos objetivos selecionados)</t>
  </si>
  <si>
    <t xml:space="preserve">% Carboidrato (média dos objetivos selecionados)</t>
  </si>
  <si>
    <t xml:space="preserve">% Gordura (média dos objetivos selecionados)</t>
  </si>
  <si>
    <t xml:space="preserve">Macronutriente</t>
  </si>
  <si>
    <t xml:space="preserve">Gramas/dia</t>
  </si>
  <si>
    <t xml:space="preserve">Como é calculado</t>
  </si>
  <si>
    <t xml:space="preserve">Proteína (g)</t>
  </si>
  <si>
    <t xml:space="preserve">(Calorias totais × % Proteína) ÷ 4 kcal/g</t>
  </si>
  <si>
    <t xml:space="preserve">Carboidrato (g)</t>
  </si>
  <si>
    <t xml:space="preserve">(Calorias totais × % Carboidrato) ÷ 4 kcal/g</t>
  </si>
  <si>
    <t xml:space="preserve">Gordura (g)</t>
  </si>
  <si>
    <t xml:space="preserve">(Calorias totais × % Gordura) ÷ 9 kcal/g</t>
  </si>
  <si>
    <t xml:space="preserve">Fibra (g)</t>
  </si>
  <si>
    <t xml:space="preserve">14 g de fibra a cada 1.000 kcal (diretriz geral USDA/IOM), independente do objetivo</t>
  </si>
  <si>
    <t xml:space="preserve">Fontes: Mifflin-St Jeor (1990) para TMB; Institute of Medicine / Dietary Guidelines for Americans para a recomendação de 14g de fibra por 1.000 kcal; critério de Lipschitz para IMC de idosos.</t>
  </si>
  <si>
    <t xml:space="preserve">FÓRMULA UTILIZADA — todas as variáveis e memória de cálculo</t>
  </si>
  <si>
    <t xml:space="preserve">VARIÁVEIS DE ENTRADA</t>
  </si>
  <si>
    <t xml:space="preserve">P</t>
  </si>
  <si>
    <t xml:space="preserve">A</t>
  </si>
  <si>
    <t xml:space="preserve">I</t>
  </si>
  <si>
    <t xml:space="preserve">S</t>
  </si>
  <si>
    <t xml:space="preserve">Sexo</t>
  </si>
  <si>
    <t xml:space="preserve">FA</t>
  </si>
  <si>
    <t xml:space="preserve">Fator de atividade (via nível físico 1-3)</t>
  </si>
  <si>
    <t xml:space="preserve">OBJ</t>
  </si>
  <si>
    <t xml:space="preserve">Objetivo(s) selecionado(s) (multi-seleção)</t>
  </si>
  <si>
    <t xml:space="preserve">FÓRMULA MESTRE (passo a passo)</t>
  </si>
  <si>
    <t xml:space="preserve">Passo</t>
  </si>
  <si>
    <t xml:space="preserve">Fórmula</t>
  </si>
  <si>
    <t xml:space="preserve">Resultado (exemplo com os dados preenchidos acima)</t>
  </si>
  <si>
    <t xml:space="preserve">1. TMB</t>
  </si>
  <si>
    <t xml:space="preserve">Homens: (10×P)+(6,25×A)-(5×I)+5  |  Mulheres: (10×P)+(6,25×A)-(5×I)-161</t>
  </si>
  <si>
    <t xml:space="preserve">2. TDEE (manutenção)</t>
  </si>
  <si>
    <t xml:space="preserve">TMB × FA</t>
  </si>
  <si>
    <t xml:space="preserve">3. IMC</t>
  </si>
  <si>
    <t xml:space="preserve">P ÷ (A/100)²</t>
  </si>
  <si>
    <t xml:space="preserve">4. Classificação IMC</t>
  </si>
  <si>
    <t xml:space="preserve">Faixa de IMC de acordo com a idade (tabela OMS ou Lipschitz 65+)</t>
  </si>
  <si>
    <t xml:space="preserve">5. Objetivos selecionados</t>
  </si>
  <si>
    <t xml:space="preserve">Lista dos objetivos marcados com 1 na coluna 'Selecionado?' da tabela de OBJETIVO</t>
  </si>
  <si>
    <t xml:space="preserve">6. Alerta de conflito</t>
  </si>
  <si>
    <t xml:space="preserve">Verifica se Perder Peso e Ganhar Massa Muscular foram marcados juntos (metas opostas)</t>
  </si>
  <si>
    <t xml:space="preserve">7. Ajuste efetivo por objetivo</t>
  </si>
  <si>
    <t xml:space="preserve">Para cada objetivo marcado: zera se Perder Peso + abaixo do peso; reduz à metade se Ganhar Massa + acima do peso; senão mantém o ajuste base (coluna 'Ajuste efetivo' da tabela de OBJETIVO)</t>
  </si>
  <si>
    <t xml:space="preserve">ver tabela de OBJETIVO</t>
  </si>
  <si>
    <t xml:space="preserve">8. Ajuste calórico médio</t>
  </si>
  <si>
    <t xml:space="preserve">SOMA(Selecionado × Ajuste efetivo) ÷ Nº de objetivos selecionados</t>
  </si>
  <si>
    <t xml:space="preserve">9. CALORIAS TOTAIS/DIA</t>
  </si>
  <si>
    <t xml:space="preserve">TDEE + Ajuste calórico médio</t>
  </si>
  <si>
    <t xml:space="preserve">10. Proteína (g)</t>
  </si>
  <si>
    <t xml:space="preserve">(Calorias totais × %Proteína média dos objetivos) ÷ 4</t>
  </si>
  <si>
    <t xml:space="preserve">11. Carboidrato (g)</t>
  </si>
  <si>
    <t xml:space="preserve">(Calorias totais × %Carboidrato média dos objetivos) ÷ 4</t>
  </si>
  <si>
    <t xml:space="preserve">12. Gordura (g)</t>
  </si>
  <si>
    <t xml:space="preserve">(Calorias totais × %Gordura média dos objetivos) ÷ 9</t>
  </si>
  <si>
    <t xml:space="preserve">13. Fibra (g)</t>
  </si>
  <si>
    <t xml:space="preserve">(Calorias totais ÷ 1000) × 14</t>
  </si>
  <si>
    <t xml:space="preserve">Exemplo lido acima: Homem, 80kg, 175cm, 30 anos, nível físico Intermediário, objetivos marcados: Perder Peso + Criar uma Rotina → esse é o mesmo exemplo que está preenchido nas células amarelas no topo da planilha (a média de -450 e 0 kcal dá -225 kcal/dia). Troque os valores de entrada ou os toggles de seleção para gerar outro exemplo — a memória de cálculo acima recalcula sozinha.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</si>
</sst>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00"/>
    <numFmt numFmtId="168" formatCode="\+0;\-0;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6" t="n">
        <v>80</v>
      </c>
    </row>
    <row r="7" customFormat="false" ht="15" hidden="false" customHeight="false" outlineLevel="0" collapsed="false">
      <c r="A7" s="4" t="s">
        <v>6</v>
      </c>
      <c r="B7" s="7" t="n">
        <v>175</v>
      </c>
    </row>
    <row r="8" customFormat="false" ht="15" hidden="false" customHeight="false" outlineLevel="0" collapsed="false">
      <c r="A8" s="4" t="s">
        <v>7</v>
      </c>
      <c r="B8" s="7" t="n">
        <v>30</v>
      </c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4" t="s">
        <v>9</v>
      </c>
      <c r="B11" s="8" t="n">
        <f aca="false">ROUND(B6/((B7/100)^2),1)</f>
        <v>26.1</v>
      </c>
    </row>
    <row r="12" customFormat="false" ht="15" hidden="false" customHeight="false" outlineLevel="0" collapsed="false">
      <c r="A12" s="4" t="s">
        <v>10</v>
      </c>
      <c r="B12" s="9" t="str">
        <f aca="false">IF(B8&gt;=65,IF(B11&lt;22,"Abaixo do peso",IF(B11&lt;=27,"Peso ideal","Acima do peso")),IF(B11&lt;18.5,"Abaixo do peso",IF(B11&lt;25,"Peso ideal",IF(B11&lt;30,"Acima do peso (sobrepeso)",IF(B11&lt;35,"Acima do peso (obesidade grau I)",IF(B11&lt;40,"Acima do peso (obesidade grau II)","Acima do peso (obesidade grau III)"))))))</f>
        <v>Acima do peso (sobrepeso)</v>
      </c>
      <c r="C12" s="9"/>
      <c r="D12" s="9"/>
    </row>
    <row r="13" customFormat="false" ht="15" hidden="false" customHeight="false" outlineLevel="0" collapsed="false">
      <c r="A13" s="10" t="s">
        <v>11</v>
      </c>
      <c r="B13" s="10" t="s">
        <v>12</v>
      </c>
      <c r="C13" s="10" t="s">
        <v>13</v>
      </c>
      <c r="D13" s="10" t="s">
        <v>14</v>
      </c>
    </row>
    <row r="14" customFormat="false" ht="15" hidden="false" customHeight="false" outlineLevel="0" collapsed="false">
      <c r="A14" s="11" t="s">
        <v>15</v>
      </c>
      <c r="B14" s="11" t="s">
        <v>16</v>
      </c>
      <c r="C14" s="11" t="s">
        <v>17</v>
      </c>
      <c r="D14" s="11" t="s">
        <v>18</v>
      </c>
    </row>
    <row r="15" customFormat="false" ht="15" hidden="false" customHeight="false" outlineLevel="0" collapsed="false">
      <c r="A15" s="11" t="s">
        <v>19</v>
      </c>
      <c r="B15" s="11" t="s">
        <v>20</v>
      </c>
      <c r="C15" s="11" t="s">
        <v>21</v>
      </c>
      <c r="D15" s="11" t="s">
        <v>22</v>
      </c>
    </row>
    <row r="16" customFormat="false" ht="22.35" hidden="false" customHeight="true" outlineLevel="0" collapsed="false">
      <c r="A16" s="12" t="s">
        <v>23</v>
      </c>
      <c r="B16" s="12"/>
      <c r="C16" s="12"/>
      <c r="D16" s="12"/>
      <c r="E16" s="12"/>
      <c r="F16" s="12"/>
      <c r="G16" s="12"/>
    </row>
    <row r="18" customFormat="false" ht="15" hidden="false" customHeight="false" outlineLevel="0" collapsed="false">
      <c r="A18" s="3" t="s">
        <v>24</v>
      </c>
      <c r="B18" s="3"/>
      <c r="C18" s="3"/>
      <c r="D18" s="3"/>
      <c r="E18" s="3"/>
      <c r="F18" s="3"/>
    </row>
    <row r="19" customFormat="false" ht="15" hidden="false" customHeight="false" outlineLevel="0" collapsed="false">
      <c r="A19" s="4" t="s">
        <v>25</v>
      </c>
      <c r="B19" s="7" t="n">
        <v>2</v>
      </c>
      <c r="C19" s="13" t="s">
        <v>26</v>
      </c>
    </row>
    <row r="21" customFormat="false" ht="15" hidden="false" customHeight="false" outlineLevel="0" collapsed="false">
      <c r="A21" s="10" t="s">
        <v>27</v>
      </c>
      <c r="B21" s="10" t="s">
        <v>28</v>
      </c>
      <c r="C21" s="10" t="s">
        <v>29</v>
      </c>
      <c r="D21" s="10" t="s">
        <v>30</v>
      </c>
    </row>
    <row r="22" customFormat="false" ht="26.85" hidden="false" customHeight="false" outlineLevel="0" collapsed="false">
      <c r="A22" s="11" t="n">
        <v>1</v>
      </c>
      <c r="B22" s="11" t="s">
        <v>31</v>
      </c>
      <c r="C22" s="14" t="s">
        <v>32</v>
      </c>
      <c r="D22" s="15" t="n">
        <v>1.2</v>
      </c>
    </row>
    <row r="23" customFormat="false" ht="26.85" hidden="false" customHeight="false" outlineLevel="0" collapsed="false">
      <c r="A23" s="11" t="n">
        <v>2</v>
      </c>
      <c r="B23" s="11" t="s">
        <v>33</v>
      </c>
      <c r="C23" s="14" t="s">
        <v>34</v>
      </c>
      <c r="D23" s="15" t="n">
        <v>1.55</v>
      </c>
    </row>
    <row r="24" customFormat="false" ht="26.85" hidden="false" customHeight="false" outlineLevel="0" collapsed="false">
      <c r="A24" s="11" t="n">
        <v>3</v>
      </c>
      <c r="B24" s="11" t="s">
        <v>35</v>
      </c>
      <c r="C24" s="14" t="s">
        <v>36</v>
      </c>
      <c r="D24" s="15" t="n">
        <v>1.9</v>
      </c>
    </row>
    <row r="26" customFormat="false" ht="15" hidden="false" customHeight="false" outlineLevel="0" collapsed="false">
      <c r="A26" s="3" t="s">
        <v>37</v>
      </c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true" outlineLevel="0" collapsed="false">
      <c r="A27" s="12" t="s">
        <v>38</v>
      </c>
      <c r="B27" s="12"/>
      <c r="C27" s="12"/>
      <c r="D27" s="12"/>
      <c r="E27" s="12"/>
      <c r="F27" s="12"/>
      <c r="G27" s="12"/>
      <c r="H27" s="12"/>
      <c r="I27" s="12"/>
    </row>
    <row r="29" customFormat="false" ht="15" hidden="false" customHeight="false" outlineLevel="0" collapsed="false">
      <c r="A29" s="10" t="s">
        <v>27</v>
      </c>
      <c r="B29" s="10" t="s">
        <v>39</v>
      </c>
      <c r="C29" s="10" t="s">
        <v>40</v>
      </c>
      <c r="D29" s="10" t="s">
        <v>41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46</v>
      </c>
    </row>
    <row r="30" customFormat="false" ht="39.55" hidden="false" customHeight="false" outlineLevel="0" collapsed="false">
      <c r="A30" s="11" t="n">
        <v>1</v>
      </c>
      <c r="B30" s="11" t="s">
        <v>47</v>
      </c>
      <c r="C30" s="14" t="s">
        <v>48</v>
      </c>
      <c r="D30" s="16" t="n">
        <v>-450</v>
      </c>
      <c r="E30" s="17" t="n">
        <v>0.3</v>
      </c>
      <c r="F30" s="17" t="n">
        <v>0.4</v>
      </c>
      <c r="G30" s="17" t="n">
        <v>0.3</v>
      </c>
      <c r="H30" s="7" t="n">
        <v>1</v>
      </c>
      <c r="I30" s="16" t="n">
        <f aca="false">IF(AND(B30="Perder Peso",$B$12="Abaixo do peso"),0,IF(AND(B30="Ganhar Massa Muscular",LEFT($B$12,13)="Acima do peso"),ROUND(D30/2,0),D30))</f>
        <v>-450</v>
      </c>
    </row>
    <row r="31" customFormat="false" ht="39.55" hidden="false" customHeight="false" outlineLevel="0" collapsed="false">
      <c r="A31" s="11" t="n">
        <v>2</v>
      </c>
      <c r="B31" s="11" t="s">
        <v>49</v>
      </c>
      <c r="C31" s="14" t="s">
        <v>50</v>
      </c>
      <c r="D31" s="16" t="n">
        <v>350</v>
      </c>
      <c r="E31" s="17" t="n">
        <v>0.3</v>
      </c>
      <c r="F31" s="17" t="n">
        <v>0.45</v>
      </c>
      <c r="G31" s="17" t="n">
        <v>0.25</v>
      </c>
      <c r="H31" s="7" t="n">
        <v>0</v>
      </c>
      <c r="I31" s="16" t="n">
        <f aca="false">IF(AND(B31="Perder Peso",$B$12="Abaixo do peso"),0,IF(AND(B31="Ganhar Massa Muscular",LEFT($B$12,13)="Acima do peso"),ROUND(D31/2,0),D31))</f>
        <v>175</v>
      </c>
    </row>
    <row r="32" customFormat="false" ht="26.85" hidden="false" customHeight="false" outlineLevel="0" collapsed="false">
      <c r="A32" s="11" t="n">
        <v>3</v>
      </c>
      <c r="B32" s="11" t="s">
        <v>51</v>
      </c>
      <c r="C32" s="14" t="s">
        <v>52</v>
      </c>
      <c r="D32" s="16" t="n">
        <v>0</v>
      </c>
      <c r="E32" s="17" t="n">
        <v>0.25</v>
      </c>
      <c r="F32" s="17" t="n">
        <v>0.5</v>
      </c>
      <c r="G32" s="17" t="n">
        <v>0.25</v>
      </c>
      <c r="H32" s="7" t="n">
        <v>0</v>
      </c>
      <c r="I32" s="16" t="n">
        <f aca="false">IF(AND(B32="Perder Peso",$B$12="Abaixo do peso"),0,IF(AND(B32="Ganhar Massa Muscular",LEFT($B$12,13)="Acima do peso"),ROUND(D32/2,0),D32))</f>
        <v>0</v>
      </c>
    </row>
    <row r="33" customFormat="false" ht="26.85" hidden="false" customHeight="false" outlineLevel="0" collapsed="false">
      <c r="A33" s="11" t="n">
        <v>4</v>
      </c>
      <c r="B33" s="11" t="s">
        <v>53</v>
      </c>
      <c r="C33" s="14" t="s">
        <v>54</v>
      </c>
      <c r="D33" s="16" t="n">
        <v>150</v>
      </c>
      <c r="E33" s="17" t="n">
        <v>0.2</v>
      </c>
      <c r="F33" s="17" t="n">
        <v>0.55</v>
      </c>
      <c r="G33" s="17" t="n">
        <v>0.25</v>
      </c>
      <c r="H33" s="7" t="n">
        <v>0</v>
      </c>
      <c r="I33" s="16" t="n">
        <f aca="false">IF(AND(B33="Perder Peso",$B$12="Abaixo do peso"),0,IF(AND(B33="Ganhar Massa Muscular",LEFT($B$12,13)="Acima do peso"),ROUND(D33/2,0),D33))</f>
        <v>150</v>
      </c>
    </row>
    <row r="34" customFormat="false" ht="26.85" hidden="false" customHeight="false" outlineLevel="0" collapsed="false">
      <c r="A34" s="11" t="n">
        <v>5</v>
      </c>
      <c r="B34" s="11" t="s">
        <v>55</v>
      </c>
      <c r="C34" s="14" t="s">
        <v>56</v>
      </c>
      <c r="D34" s="16" t="n">
        <v>0</v>
      </c>
      <c r="E34" s="17" t="n">
        <v>0.25</v>
      </c>
      <c r="F34" s="17" t="n">
        <v>0.45</v>
      </c>
      <c r="G34" s="17" t="n">
        <v>0.3</v>
      </c>
      <c r="H34" s="7" t="n">
        <v>1</v>
      </c>
      <c r="I34" s="16" t="n">
        <f aca="false">IF(AND(B34="Perder Peso",$B$12="Abaixo do peso"),0,IF(AND(B34="Ganhar Massa Muscular",LEFT($B$12,13)="Acima do peso"),ROUND(D34/2,0),D34))</f>
        <v>0</v>
      </c>
    </row>
    <row r="35" customFormat="false" ht="26.85" hidden="false" customHeight="false" outlineLevel="0" collapsed="false">
      <c r="A35" s="11" t="n">
        <v>6</v>
      </c>
      <c r="B35" s="11" t="s">
        <v>57</v>
      </c>
      <c r="C35" s="14" t="s">
        <v>58</v>
      </c>
      <c r="D35" s="16" t="n">
        <v>0</v>
      </c>
      <c r="E35" s="17" t="n">
        <v>0.25</v>
      </c>
      <c r="F35" s="17" t="n">
        <v>0.45</v>
      </c>
      <c r="G35" s="17" t="n">
        <v>0.3</v>
      </c>
      <c r="H35" s="7" t="n">
        <v>0</v>
      </c>
      <c r="I35" s="16" t="n">
        <f aca="false">IF(AND(B35="Perder Peso",$B$12="Abaixo do peso"),0,IF(AND(B35="Ganhar Massa Muscular",LEFT($B$12,13)="Acima do peso"),ROUND(D35/2,0),D35))</f>
        <v>0</v>
      </c>
    </row>
    <row r="37" customFormat="false" ht="22.35" hidden="false" customHeight="true" outlineLevel="0" collapsed="false">
      <c r="A37" s="12" t="s">
        <v>59</v>
      </c>
      <c r="B37" s="12"/>
      <c r="C37" s="12"/>
      <c r="D37" s="12"/>
      <c r="E37" s="12"/>
      <c r="F37" s="12"/>
      <c r="G37" s="12"/>
      <c r="H37" s="12"/>
      <c r="I37" s="12"/>
    </row>
    <row r="39" customFormat="false" ht="15" hidden="false" customHeight="false" outlineLevel="0" collapsed="false">
      <c r="A39" s="3" t="s">
        <v>60</v>
      </c>
      <c r="B39" s="3"/>
      <c r="C39" s="3"/>
      <c r="D39" s="3"/>
      <c r="E39" s="3"/>
      <c r="F39" s="3"/>
    </row>
    <row r="40" customFormat="false" ht="15" hidden="false" customHeight="false" outlineLevel="0" collapsed="false">
      <c r="A40" s="4" t="s">
        <v>61</v>
      </c>
      <c r="B40" s="15" t="n">
        <f aca="false">INDEX(D22:D24,MATCH(B19,A22:A24,0))</f>
        <v>1.55</v>
      </c>
    </row>
    <row r="41" customFormat="false" ht="15" hidden="false" customHeight="false" outlineLevel="0" collapsed="false">
      <c r="A41" s="4" t="s">
        <v>62</v>
      </c>
      <c r="B41" s="18" t="n">
        <f aca="false">IF(UPPER(B5)="M",(10*B6)+(6.25*B7)-(5*B8)+5,(10*B6)+(6.25*B7)-(5*B8)-161)</f>
        <v>1748.75</v>
      </c>
    </row>
    <row r="42" customFormat="false" ht="15" hidden="false" customHeight="false" outlineLevel="0" collapsed="false">
      <c r="A42" s="4" t="s">
        <v>63</v>
      </c>
      <c r="B42" s="18" t="n">
        <f aca="false">B41*B40</f>
        <v>2710.5625</v>
      </c>
    </row>
    <row r="43" customFormat="false" ht="15" hidden="false" customHeight="true" outlineLevel="0" collapsed="false">
      <c r="A43" s="12" t="s">
        <v>64</v>
      </c>
      <c r="B43" s="12"/>
      <c r="C43" s="12"/>
      <c r="D43" s="12"/>
      <c r="E43" s="12"/>
      <c r="F43" s="12"/>
    </row>
    <row r="45" customFormat="false" ht="15" hidden="false" customHeight="false" outlineLevel="0" collapsed="false">
      <c r="A45" s="3" t="s">
        <v>65</v>
      </c>
      <c r="B45" s="3"/>
      <c r="C45" s="3"/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A46" s="4" t="s">
        <v>66</v>
      </c>
      <c r="B46" s="18" t="n">
        <f aca="false">SUM(H30:H35)</f>
        <v>2</v>
      </c>
    </row>
    <row r="47" customFormat="false" ht="15" hidden="false" customHeight="false" outlineLevel="0" collapsed="false">
      <c r="A47" s="4" t="s">
        <v>67</v>
      </c>
      <c r="B47" s="19" t="str">
        <f aca="false">_xlfn.TEXTJOIN(", ",TRUE(),IF(H30=1,B30,""),IF(H31=1,B31,""),IF(H32=1,B32,""),IF(H33=1,B33,""),IF(H34=1,B34,""),IF(H35=1,B35,""))</f>
        <v>Perder Peso, Criar uma Rotina</v>
      </c>
      <c r="C47" s="19"/>
      <c r="D47" s="19"/>
      <c r="E47" s="19"/>
      <c r="F47" s="19"/>
      <c r="G47" s="19"/>
      <c r="H47" s="19"/>
      <c r="I47" s="19"/>
    </row>
    <row r="48" customFormat="false" ht="15" hidden="false" customHeight="false" outlineLevel="0" collapsed="false">
      <c r="A48" s="4" t="s">
        <v>68</v>
      </c>
      <c r="B48" s="14" t="str">
        <f aca="false">IF(AND(H30=1,H31=1),"Objetivos conflitantes selecionados (Perder Peso + Ganhar Massa Muscular). O resultado é uma média entre déficit e superávit — oriente o usuário a priorizar um objetivo por vez para resultados mais previsíveis.","Nenhum conflito detectado")</f>
        <v>Nenhum conflito detectado</v>
      </c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4" t="s">
        <v>69</v>
      </c>
      <c r="B49" s="20" t="n">
        <f aca="false">IF(B46=0,0,SUMPRODUCT(H30:H35,I30:I35)/B46)</f>
        <v>-225</v>
      </c>
    </row>
    <row r="50" customFormat="false" ht="15" hidden="false" customHeight="false" outlineLevel="0" collapsed="false">
      <c r="A50" s="4" t="s">
        <v>70</v>
      </c>
      <c r="B50" s="21" t="n">
        <f aca="false">B42+B49</f>
        <v>2485.5625</v>
      </c>
    </row>
    <row r="51" customFormat="false" ht="15" hidden="false" customHeight="false" outlineLevel="0" collapsed="false">
      <c r="A51" s="4" t="s">
        <v>71</v>
      </c>
      <c r="B51" s="17" t="n">
        <f aca="false">IF(B46=0,0,SUMPRODUCT(H30:H35,E30:E35)/B46)</f>
        <v>0.275</v>
      </c>
    </row>
    <row r="52" customFormat="false" ht="15" hidden="false" customHeight="false" outlineLevel="0" collapsed="false">
      <c r="A52" s="4" t="s">
        <v>72</v>
      </c>
      <c r="B52" s="17" t="n">
        <f aca="false">IF(B46=0,0,SUMPRODUCT(H30:H35,F30:F35)/B46)</f>
        <v>0.425</v>
      </c>
    </row>
    <row r="53" customFormat="false" ht="15" hidden="false" customHeight="false" outlineLevel="0" collapsed="false">
      <c r="A53" s="4" t="s">
        <v>73</v>
      </c>
      <c r="B53" s="17" t="n">
        <f aca="false">IF(B46=0,0,SUMPRODUCT(H30:H35,G30:G35)/B46)</f>
        <v>0.3</v>
      </c>
    </row>
    <row r="55" customFormat="false" ht="15" hidden="false" customHeight="false" outlineLevel="0" collapsed="false">
      <c r="A55" s="10" t="s">
        <v>74</v>
      </c>
      <c r="B55" s="10" t="s">
        <v>75</v>
      </c>
      <c r="C55" s="10" t="s">
        <v>76</v>
      </c>
    </row>
    <row r="56" customFormat="false" ht="15" hidden="false" customHeight="false" outlineLevel="0" collapsed="false">
      <c r="A56" s="22" t="s">
        <v>77</v>
      </c>
      <c r="B56" s="21" t="n">
        <f aca="false">(B50*B51)/4</f>
        <v>170.882421875</v>
      </c>
      <c r="C56" s="13" t="s">
        <v>78</v>
      </c>
    </row>
    <row r="57" customFormat="false" ht="15" hidden="false" customHeight="false" outlineLevel="0" collapsed="false">
      <c r="A57" s="22" t="s">
        <v>79</v>
      </c>
      <c r="B57" s="21" t="n">
        <f aca="false">(B50*B52)/4</f>
        <v>264.091015625</v>
      </c>
      <c r="C57" s="13" t="s">
        <v>80</v>
      </c>
    </row>
    <row r="58" customFormat="false" ht="15" hidden="false" customHeight="false" outlineLevel="0" collapsed="false">
      <c r="A58" s="22" t="s">
        <v>81</v>
      </c>
      <c r="B58" s="21" t="n">
        <f aca="false">(B50*B53)/9</f>
        <v>82.8520833333333</v>
      </c>
      <c r="C58" s="13" t="s">
        <v>82</v>
      </c>
    </row>
    <row r="59" customFormat="false" ht="22.35" hidden="false" customHeight="false" outlineLevel="0" collapsed="false">
      <c r="A59" s="22" t="s">
        <v>83</v>
      </c>
      <c r="B59" s="21" t="n">
        <f aca="false">ROUND((B50/1000)*14,0)</f>
        <v>35</v>
      </c>
      <c r="C59" s="13" t="s">
        <v>84</v>
      </c>
    </row>
    <row r="61" customFormat="false" ht="15" hidden="false" customHeight="true" outlineLevel="0" collapsed="false">
      <c r="A61" s="12" t="s">
        <v>85</v>
      </c>
      <c r="B61" s="12"/>
      <c r="C61" s="12"/>
      <c r="D61" s="12"/>
      <c r="E61" s="12"/>
      <c r="F61" s="12"/>
      <c r="G61" s="12"/>
    </row>
    <row r="63" customFormat="false" ht="15" hidden="false" customHeight="false" outlineLevel="0" collapsed="false">
      <c r="A63" s="3" t="s">
        <v>86</v>
      </c>
      <c r="B63" s="3"/>
      <c r="C63" s="3"/>
      <c r="D63" s="3"/>
      <c r="E63" s="3"/>
      <c r="F63" s="3"/>
      <c r="G63" s="3"/>
    </row>
    <row r="64" customFormat="false" ht="15" hidden="false" customHeight="true" outlineLevel="0" collapsed="false">
      <c r="A64" s="23" t="s">
        <v>87</v>
      </c>
      <c r="B64" s="23"/>
      <c r="C64" s="23"/>
      <c r="D64" s="23"/>
      <c r="E64" s="23"/>
      <c r="F64" s="23"/>
      <c r="G64" s="23"/>
    </row>
    <row r="65" customFormat="false" ht="15" hidden="false" customHeight="false" outlineLevel="0" collapsed="false">
      <c r="A65" s="11" t="s">
        <v>88</v>
      </c>
      <c r="B65" s="14" t="s">
        <v>5</v>
      </c>
      <c r="C65" s="24" t="n">
        <f aca="false">B6</f>
        <v>80</v>
      </c>
    </row>
    <row r="66" customFormat="false" ht="15" hidden="false" customHeight="false" outlineLevel="0" collapsed="false">
      <c r="A66" s="11" t="s">
        <v>89</v>
      </c>
      <c r="B66" s="14" t="s">
        <v>6</v>
      </c>
      <c r="C66" s="25" t="n">
        <f aca="false">B7</f>
        <v>175</v>
      </c>
    </row>
    <row r="67" customFormat="false" ht="15" hidden="false" customHeight="false" outlineLevel="0" collapsed="false">
      <c r="A67" s="11" t="s">
        <v>90</v>
      </c>
      <c r="B67" s="14" t="s">
        <v>7</v>
      </c>
      <c r="C67" s="25" t="n">
        <f aca="false">B8</f>
        <v>30</v>
      </c>
    </row>
    <row r="68" customFormat="false" ht="15" hidden="false" customHeight="false" outlineLevel="0" collapsed="false">
      <c r="A68" s="11" t="s">
        <v>91</v>
      </c>
      <c r="B68" s="14" t="s">
        <v>92</v>
      </c>
      <c r="C68" s="11" t="str">
        <f aca="false">B5</f>
        <v>M</v>
      </c>
    </row>
    <row r="69" customFormat="false" ht="39.55" hidden="false" customHeight="false" outlineLevel="0" collapsed="false">
      <c r="A69" s="11" t="s">
        <v>93</v>
      </c>
      <c r="B69" s="14" t="s">
        <v>94</v>
      </c>
      <c r="C69" s="15" t="n">
        <f aca="false">B40</f>
        <v>1.55</v>
      </c>
    </row>
    <row r="70" customFormat="false" ht="39.55" hidden="false" customHeight="false" outlineLevel="0" collapsed="false">
      <c r="A70" s="11" t="s">
        <v>95</v>
      </c>
      <c r="B70" s="14" t="s">
        <v>96</v>
      </c>
      <c r="C70" s="11" t="str">
        <f aca="false">B47</f>
        <v>Perder Peso, Criar uma Rotina</v>
      </c>
    </row>
    <row r="72" customFormat="false" ht="15" hidden="false" customHeight="true" outlineLevel="0" collapsed="false">
      <c r="A72" s="23" t="s">
        <v>97</v>
      </c>
      <c r="B72" s="23"/>
      <c r="C72" s="23"/>
      <c r="D72" s="23"/>
      <c r="E72" s="23"/>
      <c r="F72" s="23"/>
      <c r="G72" s="23"/>
    </row>
    <row r="73" customFormat="false" ht="15" hidden="false" customHeight="false" outlineLevel="0" collapsed="false">
      <c r="A73" s="10" t="s">
        <v>98</v>
      </c>
      <c r="B73" s="10" t="s">
        <v>99</v>
      </c>
      <c r="C73" s="10" t="s">
        <v>100</v>
      </c>
    </row>
    <row r="74" customFormat="false" ht="15" hidden="false" customHeight="true" outlineLevel="0" collapsed="false">
      <c r="A74" s="11" t="s">
        <v>101</v>
      </c>
      <c r="B74" s="14" t="s">
        <v>102</v>
      </c>
      <c r="C74" s="14"/>
      <c r="D74" s="14"/>
      <c r="E74" s="14"/>
      <c r="F74" s="21" t="n">
        <f aca="false">B41</f>
        <v>1748.75</v>
      </c>
    </row>
    <row r="75" customFormat="false" ht="15" hidden="false" customHeight="true" outlineLevel="0" collapsed="false">
      <c r="A75" s="11" t="s">
        <v>103</v>
      </c>
      <c r="B75" s="14" t="s">
        <v>104</v>
      </c>
      <c r="C75" s="14"/>
      <c r="D75" s="14"/>
      <c r="E75" s="14"/>
      <c r="F75" s="21" t="n">
        <f aca="false">B42</f>
        <v>2710.5625</v>
      </c>
    </row>
    <row r="76" customFormat="false" ht="15" hidden="false" customHeight="true" outlineLevel="0" collapsed="false">
      <c r="A76" s="11" t="s">
        <v>105</v>
      </c>
      <c r="B76" s="14" t="s">
        <v>106</v>
      </c>
      <c r="C76" s="14"/>
      <c r="D76" s="14"/>
      <c r="E76" s="14"/>
      <c r="F76" s="8" t="n">
        <f aca="false">B11</f>
        <v>26.1</v>
      </c>
    </row>
    <row r="77" customFormat="false" ht="15" hidden="false" customHeight="true" outlineLevel="0" collapsed="false">
      <c r="A77" s="11" t="s">
        <v>107</v>
      </c>
      <c r="B77" s="14" t="s">
        <v>108</v>
      </c>
      <c r="C77" s="14"/>
      <c r="D77" s="14"/>
      <c r="E77" s="14"/>
      <c r="F77" s="9" t="str">
        <f aca="false">B12</f>
        <v>Acima do peso (sobrepeso)</v>
      </c>
    </row>
    <row r="78" customFormat="false" ht="15" hidden="false" customHeight="true" outlineLevel="0" collapsed="false">
      <c r="A78" s="11" t="s">
        <v>109</v>
      </c>
      <c r="B78" s="14" t="s">
        <v>110</v>
      </c>
      <c r="C78" s="14"/>
      <c r="D78" s="14"/>
      <c r="E78" s="14"/>
      <c r="F78" s="9" t="str">
        <f aca="false">B47</f>
        <v>Perder Peso, Criar uma Rotina</v>
      </c>
    </row>
    <row r="79" customFormat="false" ht="15" hidden="false" customHeight="true" outlineLevel="0" collapsed="false">
      <c r="A79" s="11" t="s">
        <v>111</v>
      </c>
      <c r="B79" s="14" t="s">
        <v>112</v>
      </c>
      <c r="C79" s="14"/>
      <c r="D79" s="14"/>
      <c r="E79" s="14"/>
      <c r="F79" s="9" t="str">
        <f aca="false">B48</f>
        <v>Nenhum conflito detectado</v>
      </c>
    </row>
    <row r="80" customFormat="false" ht="26.85" hidden="false" customHeight="true" outlineLevel="0" collapsed="false">
      <c r="A80" s="11" t="s">
        <v>113</v>
      </c>
      <c r="B80" s="14" t="s">
        <v>114</v>
      </c>
      <c r="C80" s="14"/>
      <c r="D80" s="14"/>
      <c r="E80" s="14"/>
      <c r="F80" s="26" t="s">
        <v>115</v>
      </c>
    </row>
    <row r="81" customFormat="false" ht="15" hidden="false" customHeight="true" outlineLevel="0" collapsed="false">
      <c r="A81" s="11" t="s">
        <v>116</v>
      </c>
      <c r="B81" s="14" t="s">
        <v>117</v>
      </c>
      <c r="C81" s="14"/>
      <c r="D81" s="14"/>
      <c r="E81" s="14"/>
      <c r="F81" s="20" t="n">
        <f aca="false">B49</f>
        <v>-225</v>
      </c>
    </row>
    <row r="82" customFormat="false" ht="15" hidden="false" customHeight="true" outlineLevel="0" collapsed="false">
      <c r="A82" s="11" t="s">
        <v>118</v>
      </c>
      <c r="B82" s="14" t="s">
        <v>119</v>
      </c>
      <c r="C82" s="14"/>
      <c r="D82" s="14"/>
      <c r="E82" s="14"/>
      <c r="F82" s="21" t="n">
        <f aca="false">B50</f>
        <v>2485.5625</v>
      </c>
    </row>
    <row r="83" customFormat="false" ht="15" hidden="false" customHeight="true" outlineLevel="0" collapsed="false">
      <c r="A83" s="11" t="s">
        <v>120</v>
      </c>
      <c r="B83" s="14" t="s">
        <v>121</v>
      </c>
      <c r="C83" s="14"/>
      <c r="D83" s="14"/>
      <c r="E83" s="14"/>
      <c r="F83" s="21" t="n">
        <f aca="false">B56</f>
        <v>170.882421875</v>
      </c>
    </row>
    <row r="84" customFormat="false" ht="15" hidden="false" customHeight="true" outlineLevel="0" collapsed="false">
      <c r="A84" s="11" t="s">
        <v>122</v>
      </c>
      <c r="B84" s="14" t="s">
        <v>123</v>
      </c>
      <c r="C84" s="14"/>
      <c r="D84" s="14"/>
      <c r="E84" s="14"/>
      <c r="F84" s="21" t="n">
        <f aca="false">B57</f>
        <v>264.091015625</v>
      </c>
    </row>
    <row r="85" customFormat="false" ht="15" hidden="false" customHeight="true" outlineLevel="0" collapsed="false">
      <c r="A85" s="11" t="s">
        <v>124</v>
      </c>
      <c r="B85" s="14" t="s">
        <v>125</v>
      </c>
      <c r="C85" s="14"/>
      <c r="D85" s="14"/>
      <c r="E85" s="14"/>
      <c r="F85" s="21" t="n">
        <f aca="false">B58</f>
        <v>82.8520833333333</v>
      </c>
    </row>
    <row r="86" customFormat="false" ht="15" hidden="false" customHeight="true" outlineLevel="0" collapsed="false">
      <c r="A86" s="11" t="s">
        <v>126</v>
      </c>
      <c r="B86" s="14" t="s">
        <v>127</v>
      </c>
      <c r="C86" s="14"/>
      <c r="D86" s="14"/>
      <c r="E86" s="14"/>
      <c r="F86" s="21" t="n">
        <f aca="false">B59</f>
        <v>35</v>
      </c>
    </row>
    <row r="88" customFormat="false" ht="22.35" hidden="false" customHeight="true" outlineLevel="0" collapsed="false">
      <c r="A88" s="12" t="s">
        <v>128</v>
      </c>
      <c r="B88" s="12"/>
      <c r="C88" s="12"/>
      <c r="D88" s="12"/>
      <c r="E88" s="12"/>
      <c r="F88" s="12"/>
      <c r="G88" s="12"/>
      <c r="H88" s="12"/>
      <c r="I88" s="12"/>
    </row>
  </sheetData>
  <mergeCells count="33">
    <mergeCell ref="A1:F1"/>
    <mergeCell ref="A2:F2"/>
    <mergeCell ref="A4:F4"/>
    <mergeCell ref="A10:F10"/>
    <mergeCell ref="B12:D12"/>
    <mergeCell ref="A16:G16"/>
    <mergeCell ref="A18:F18"/>
    <mergeCell ref="A26:I26"/>
    <mergeCell ref="A27:I27"/>
    <mergeCell ref="A37:I37"/>
    <mergeCell ref="A39:F39"/>
    <mergeCell ref="A43:F43"/>
    <mergeCell ref="A45:I45"/>
    <mergeCell ref="B47:I47"/>
    <mergeCell ref="B48:I48"/>
    <mergeCell ref="A61:G61"/>
    <mergeCell ref="A63:G63"/>
    <mergeCell ref="A64:G64"/>
    <mergeCell ref="A72:G72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A88:I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2026-09-24T14:48:48Z</dcterms:created>
  <dc:creator>openpyxl</dc:creator>
  <dc:description/>
  <dc:language>en-US</dc:language>
  <cp:lastModifiedBy/>
  <dcterms:modified xsi:type="dcterms:W3CDTF">2026-09-24T14:48:48Z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